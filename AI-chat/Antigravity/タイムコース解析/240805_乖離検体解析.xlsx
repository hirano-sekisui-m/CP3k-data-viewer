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23032827\Desktop\タイムコース解析\"/>
    </mc:Choice>
  </mc:AlternateContent>
  <xr:revisionPtr revIDLastSave="0" documentId="8_{C0409AEF-6CE0-4527-A76D-47CAE754ADD7}" xr6:coauthVersionLast="47" xr6:coauthVersionMax="47" xr10:uidLastSave="{00000000-0000-0000-0000-000000000000}"/>
  <bookViews>
    <workbookView xWindow="14295" yWindow="-16200" windowWidth="14610" windowHeight="15585" xr2:uid="{56B88B14-FEF5-466C-B51C-25EDB8354555}"/>
  </bookViews>
  <sheets>
    <sheet name="測定表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V37" i="1" l="1"/>
  <c r="W37" i="1"/>
  <c r="U37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W32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W35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D37" i="1"/>
  <c r="D36" i="1"/>
  <c r="D35" i="1"/>
  <c r="D34" i="1"/>
  <c r="D33" i="1"/>
  <c r="D32" i="1"/>
</calcChain>
</file>

<file path=xl/sharedStrings.xml><?xml version="1.0" encoding="utf-8"?>
<sst xmlns="http://schemas.openxmlformats.org/spreadsheetml/2006/main" count="257" uniqueCount="95">
  <si>
    <t>●2024/07/30 内容：R1 Lipidure濃度変動試験</t>
    <rPh sb="12" eb="14">
      <t>ナイヨウ</t>
    </rPh>
    <rPh sb="26" eb="28">
      <t>ノウド</t>
    </rPh>
    <rPh sb="28" eb="30">
      <t>ヘンドウ</t>
    </rPh>
    <rPh sb="30" eb="32">
      <t>シケン</t>
    </rPh>
    <phoneticPr fontId="2"/>
  </si>
  <si>
    <t>ナノピアTAT 206RAV</t>
    <phoneticPr fontId="2"/>
  </si>
  <si>
    <t>ナノピアTAT 205RIU</t>
    <phoneticPr fontId="2"/>
  </si>
  <si>
    <t>R1</t>
  </si>
  <si>
    <t>206RAV</t>
    <phoneticPr fontId="2"/>
  </si>
  <si>
    <t>205RIU</t>
  </si>
  <si>
    <t>240729 R1</t>
    <phoneticPr fontId="2"/>
  </si>
  <si>
    <t>Lipidure濃度</t>
    <rPh sb="8" eb="10">
      <t>ノウド</t>
    </rPh>
    <phoneticPr fontId="7"/>
  </si>
  <si>
    <t>R2</t>
  </si>
  <si>
    <t>205RIU</t>
    <phoneticPr fontId="2"/>
  </si>
  <si>
    <t>通し番号</t>
    <rPh sb="0" eb="1">
      <t>トオ</t>
    </rPh>
    <rPh sb="2" eb="4">
      <t>バンゴウ</t>
    </rPh>
    <phoneticPr fontId="2"/>
  </si>
  <si>
    <t>検体ID</t>
    <rPh sb="0" eb="2">
      <t>ケンタイ</t>
    </rPh>
    <phoneticPr fontId="2"/>
  </si>
  <si>
    <t>TAT206</t>
    <phoneticPr fontId="2"/>
  </si>
  <si>
    <t>TAT205</t>
  </si>
  <si>
    <t>TAT1</t>
    <phoneticPr fontId="2"/>
  </si>
  <si>
    <t>TAT2</t>
  </si>
  <si>
    <t>TAT3</t>
  </si>
  <si>
    <t>TAT4</t>
  </si>
  <si>
    <t>TAT5</t>
  </si>
  <si>
    <t>TAT6</t>
  </si>
  <si>
    <t>TAT7</t>
  </si>
  <si>
    <t>TAT8</t>
  </si>
  <si>
    <t>TAT9</t>
  </si>
  <si>
    <t>TAT10</t>
  </si>
  <si>
    <t>TAT11</t>
  </si>
  <si>
    <t>TAT12</t>
  </si>
  <si>
    <t>TAT13</t>
  </si>
  <si>
    <t>TAT14</t>
  </si>
  <si>
    <t>TAT15</t>
  </si>
  <si>
    <t>TAT16</t>
  </si>
  <si>
    <t>TAT17</t>
  </si>
  <si>
    <t>TAT18</t>
  </si>
  <si>
    <t>生理食塩水</t>
    <rPh sb="0" eb="2">
      <t>セイリ</t>
    </rPh>
    <rPh sb="2" eb="5">
      <t>ショクエンスイ</t>
    </rPh>
    <phoneticPr fontId="2"/>
  </si>
  <si>
    <t>TAT cal①</t>
  </si>
  <si>
    <t>TAT cal②</t>
  </si>
  <si>
    <t>TAT cal③</t>
  </si>
  <si>
    <t>TAT cal④</t>
  </si>
  <si>
    <t>TAT cal⑤</t>
  </si>
  <si>
    <t>キャリブ</t>
    <phoneticPr fontId="2"/>
  </si>
  <si>
    <t>パネル検体</t>
    <rPh sb="3" eb="5">
      <t>ケンタイ</t>
    </rPh>
    <phoneticPr fontId="2"/>
  </si>
  <si>
    <t>パネル検体L</t>
    <rPh sb="3" eb="5">
      <t>ケンタイ</t>
    </rPh>
    <phoneticPr fontId="2"/>
  </si>
  <si>
    <t>パネル検体M</t>
    <rPh sb="3" eb="5">
      <t>ケンタイ</t>
    </rPh>
    <phoneticPr fontId="2"/>
  </si>
  <si>
    <t>パネル検体H</t>
    <rPh sb="3" eb="5">
      <t>ケンタイ</t>
    </rPh>
    <phoneticPr fontId="2"/>
  </si>
  <si>
    <t>20項目で、3検体をN=3測定 ⇒ 約3時間</t>
    <rPh sb="2" eb="4">
      <t>コウモク</t>
    </rPh>
    <rPh sb="7" eb="9">
      <t>ケンタイ</t>
    </rPh>
    <rPh sb="13" eb="15">
      <t>ソクテイ</t>
    </rPh>
    <rPh sb="18" eb="19">
      <t>ヤク</t>
    </rPh>
    <rPh sb="20" eb="22">
      <t>ジカン</t>
    </rPh>
    <phoneticPr fontId="2"/>
  </si>
  <si>
    <t>コントロール検体</t>
    <rPh sb="6" eb="8">
      <t>ケンタイ</t>
    </rPh>
    <phoneticPr fontId="2"/>
  </si>
  <si>
    <t>TAT コントロール-L</t>
    <phoneticPr fontId="2"/>
  </si>
  <si>
    <t>TAT コントロール-H</t>
    <phoneticPr fontId="2"/>
  </si>
  <si>
    <t>実検体</t>
    <rPh sb="0" eb="1">
      <t>ジツ</t>
    </rPh>
    <rPh sb="1" eb="3">
      <t>ケンタイ</t>
    </rPh>
    <phoneticPr fontId="2"/>
  </si>
  <si>
    <t>ボランティア-1</t>
    <phoneticPr fontId="2"/>
  </si>
  <si>
    <t>ボランティア-2</t>
  </si>
  <si>
    <t>ボランティア-3</t>
  </si>
  <si>
    <t>ボランティア-4</t>
  </si>
  <si>
    <t>ボランティア-5</t>
  </si>
  <si>
    <t>ボランティア-6</t>
  </si>
  <si>
    <t>ボランティア-7</t>
  </si>
  <si>
    <t>ボランティア-8</t>
  </si>
  <si>
    <t>ボランティア-9</t>
  </si>
  <si>
    <t>ボランティア-10</t>
  </si>
  <si>
    <t>ボランティア-11</t>
  </si>
  <si>
    <t>ボランティア-12</t>
  </si>
  <si>
    <t>ボランティア-13</t>
  </si>
  <si>
    <t>ボランティア-14</t>
  </si>
  <si>
    <t>ボランティア-15</t>
  </si>
  <si>
    <t>ボランティア-16</t>
  </si>
  <si>
    <t>ボランティア-17</t>
  </si>
  <si>
    <t>ボランティア-18</t>
  </si>
  <si>
    <t>ボランティア-19</t>
  </si>
  <si>
    <t>ボランティア-20</t>
  </si>
  <si>
    <t>ボランティアだけで約6時間?</t>
    <rPh sb="9" eb="10">
      <t>ヤク</t>
    </rPh>
    <rPh sb="11" eb="13">
      <t>ジカン</t>
    </rPh>
    <phoneticPr fontId="2"/>
  </si>
  <si>
    <t>240619_T病院-6</t>
    <rPh sb="8" eb="10">
      <t>ビョウイン</t>
    </rPh>
    <phoneticPr fontId="2"/>
  </si>
  <si>
    <t>240619_T病院-48</t>
    <rPh sb="8" eb="10">
      <t>ビョウイン</t>
    </rPh>
    <phoneticPr fontId="2"/>
  </si>
  <si>
    <t>240619_T病院-121</t>
    <rPh sb="8" eb="10">
      <t>ビョウイン</t>
    </rPh>
    <phoneticPr fontId="2"/>
  </si>
  <si>
    <t>240619_T病院-146</t>
    <rPh sb="8" eb="10">
      <t>ビョウイン</t>
    </rPh>
    <phoneticPr fontId="2"/>
  </si>
  <si>
    <t>240619_T病院-94</t>
    <rPh sb="8" eb="10">
      <t>ビョウイン</t>
    </rPh>
    <phoneticPr fontId="2"/>
  </si>
  <si>
    <t>-----</t>
  </si>
  <si>
    <t>240619_T病院-23</t>
    <rPh sb="8" eb="10">
      <t>ビョウイン</t>
    </rPh>
    <phoneticPr fontId="2"/>
  </si>
  <si>
    <t>240619_T病院-101</t>
    <rPh sb="8" eb="10">
      <t>ビョウイン</t>
    </rPh>
    <phoneticPr fontId="2"/>
  </si>
  <si>
    <t>240619_T病院-84</t>
    <rPh sb="8" eb="10">
      <t>ビョウイン</t>
    </rPh>
    <phoneticPr fontId="2"/>
  </si>
  <si>
    <t>240619_T病院-47</t>
    <rPh sb="8" eb="10">
      <t>ビョウイン</t>
    </rPh>
    <phoneticPr fontId="2"/>
  </si>
  <si>
    <t>240619_T病院-142</t>
    <rPh sb="8" eb="10">
      <t>ビョウイン</t>
    </rPh>
    <phoneticPr fontId="2"/>
  </si>
  <si>
    <t>240619_T病院-111</t>
    <rPh sb="8" eb="10">
      <t>ビョウイン</t>
    </rPh>
    <phoneticPr fontId="2"/>
  </si>
  <si>
    <t>240619_T病院-90</t>
    <rPh sb="8" eb="10">
      <t>ビョウイン</t>
    </rPh>
    <phoneticPr fontId="2"/>
  </si>
  <si>
    <t>240619_T病院-21</t>
    <rPh sb="8" eb="10">
      <t>ビョウイン</t>
    </rPh>
    <phoneticPr fontId="2"/>
  </si>
  <si>
    <t>240619_T病院-51</t>
    <rPh sb="8" eb="10">
      <t>ビョウイン</t>
    </rPh>
    <phoneticPr fontId="2"/>
  </si>
  <si>
    <t>240619_T病院-86</t>
    <rPh sb="8" eb="10">
      <t>ビョウイン</t>
    </rPh>
    <phoneticPr fontId="2"/>
  </si>
  <si>
    <t>240619_T病院-115</t>
    <rPh sb="8" eb="10">
      <t>ビョウイン</t>
    </rPh>
    <phoneticPr fontId="2"/>
  </si>
  <si>
    <t>240619_T病院-75</t>
    <rPh sb="8" eb="10">
      <t>ビョウイン</t>
    </rPh>
    <phoneticPr fontId="2"/>
  </si>
  <si>
    <t>土浦検体追加で+約6時間?</t>
    <rPh sb="0" eb="2">
      <t>ツチウラ</t>
    </rPh>
    <rPh sb="2" eb="4">
      <t>ケンタイ</t>
    </rPh>
    <rPh sb="4" eb="6">
      <t>ツイカ</t>
    </rPh>
    <rPh sb="8" eb="9">
      <t>ヤク</t>
    </rPh>
    <rPh sb="10" eb="12">
      <t>ジカン</t>
    </rPh>
    <phoneticPr fontId="2"/>
  </si>
  <si>
    <t>240619_T病院-130</t>
    <rPh sb="8" eb="10">
      <t>ビョウイン</t>
    </rPh>
    <phoneticPr fontId="2"/>
  </si>
  <si>
    <t>240619_T病院-81</t>
    <rPh sb="8" eb="10">
      <t>ビョウイン</t>
    </rPh>
    <phoneticPr fontId="2"/>
  </si>
  <si>
    <t>240619_T病院-136</t>
    <rPh sb="8" eb="10">
      <t>ビョウイン</t>
    </rPh>
    <phoneticPr fontId="2"/>
  </si>
  <si>
    <t>TAT cal①</t>
    <phoneticPr fontId="2"/>
  </si>
  <si>
    <t>TAT cal②</t>
    <phoneticPr fontId="2"/>
  </si>
  <si>
    <t>TAT cal③</t>
    <phoneticPr fontId="2"/>
  </si>
  <si>
    <t>TAT cal④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</si>
</sst>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7" formatCode="0.00_);[Red]\(0.00\)"/>
    <numFmt numFmtId="179" formatCode="0.0"/>
  </numFmts>
  <fonts count="8" x14ac:knownFonts="1">
    <font>
      <sz val="11"/>
      <color theme="1"/>
      <name val="游ゴシック"/>
      <family val="2"/>
      <charset val="128"/>
      <scheme val="minor"/>
    </font>
    <font>
      <b/>
      <sz val="14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b/>
      <sz val="11"/>
      <color theme="1"/>
      <name val="Meiryo UI"/>
      <family val="3"/>
      <charset val="128"/>
    </font>
    <font>
      <b/>
      <sz val="16"/>
      <color theme="1"/>
      <name val="Meiryo UI"/>
      <family val="3"/>
      <charset val="128"/>
    </font>
    <font>
      <sz val="9"/>
      <color theme="1"/>
      <name val="Meiryo UI"/>
      <family val="3"/>
      <charset val="128"/>
    </font>
    <font>
      <sz val="11"/>
      <color rgb="FFFF0000"/>
      <name val="游ゴシック"/>
      <family val="2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0" fontId="4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6" fillId="0" borderId="0" xfId="0" applyFont="1">
      <alignment vertical="center"/>
    </xf>
    <xf numFmtId="0" fontId="5" fillId="0" borderId="0" xfId="0" applyFont="1">
      <alignment vertical="center"/>
    </xf>
    <xf numFmtId="0" fontId="3" fillId="0" borderId="1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3" xfId="0" applyFont="1" applyBorder="1">
      <alignment vertical="center"/>
    </xf>
    <xf numFmtId="0" fontId="3" fillId="0" borderId="7" xfId="0" applyFont="1" applyBorder="1" applyAlignment="1">
      <alignment horizontal="right" vertical="center"/>
    </xf>
    <xf numFmtId="0" fontId="3" fillId="0" borderId="8" xfId="0" applyFont="1" applyBorder="1" applyAlignment="1">
      <alignment horizontal="right" vertical="center"/>
    </xf>
    <xf numFmtId="0" fontId="3" fillId="0" borderId="10" xfId="0" applyFont="1" applyBorder="1" applyAlignment="1">
      <alignment horizontal="right" vertical="center"/>
    </xf>
    <xf numFmtId="0" fontId="3" fillId="0" borderId="11" xfId="0" applyFont="1" applyBorder="1" applyAlignment="1">
      <alignment horizontal="right" vertical="center"/>
    </xf>
    <xf numFmtId="0" fontId="3" fillId="0" borderId="12" xfId="0" applyFont="1" applyBorder="1" applyAlignment="1">
      <alignment horizontal="right" vertical="center"/>
    </xf>
    <xf numFmtId="0" fontId="3" fillId="0" borderId="13" xfId="0" applyFont="1" applyBorder="1" applyAlignment="1">
      <alignment horizontal="right" vertical="center"/>
    </xf>
    <xf numFmtId="0" fontId="3" fillId="0" borderId="15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2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10" fontId="3" fillId="0" borderId="2" xfId="0" applyNumberFormat="1" applyFont="1" applyBorder="1" applyAlignment="1">
      <alignment horizontal="right" vertical="center"/>
    </xf>
    <xf numFmtId="177" fontId="3" fillId="0" borderId="2" xfId="0" applyNumberFormat="1" applyFont="1" applyBorder="1" applyAlignment="1">
      <alignment horizontal="right" vertical="center"/>
    </xf>
    <xf numFmtId="2" fontId="3" fillId="0" borderId="2" xfId="0" applyNumberFormat="1" applyFont="1" applyBorder="1" applyAlignment="1">
      <alignment horizontal="righ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179" fontId="3" fillId="0" borderId="0" xfId="0" applyNumberFormat="1" applyFont="1" applyAlignment="1">
      <alignment horizontal="right" vertical="center"/>
    </xf>
    <xf numFmtId="179" fontId="3" fillId="0" borderId="11" xfId="0" applyNumberFormat="1" applyFont="1" applyBorder="1" applyAlignment="1">
      <alignment horizontal="right" vertical="center"/>
    </xf>
    <xf numFmtId="179" fontId="3" fillId="0" borderId="17" xfId="0" applyNumberFormat="1" applyFont="1" applyBorder="1" applyAlignment="1">
      <alignment horizontal="right" vertical="center"/>
    </xf>
    <xf numFmtId="179" fontId="3" fillId="0" borderId="16" xfId="0" applyNumberFormat="1" applyFont="1" applyBorder="1" applyAlignment="1">
      <alignment horizontal="right" vertical="center"/>
    </xf>
    <xf numFmtId="179" fontId="3" fillId="0" borderId="14" xfId="0" applyNumberFormat="1" applyFont="1" applyBorder="1" applyAlignment="1">
      <alignment horizontal="right" vertical="center"/>
    </xf>
    <xf numFmtId="179" fontId="3" fillId="0" borderId="13" xfId="0" applyNumberFormat="1" applyFont="1" applyBorder="1" applyAlignment="1">
      <alignment horizontal="right" vertical="center"/>
    </xf>
    <xf numFmtId="179" fontId="3" fillId="0" borderId="18" xfId="0" applyNumberFormat="1" applyFont="1" applyBorder="1" applyAlignment="1">
      <alignment horizontal="right" vertical="center"/>
    </xf>
    <xf numFmtId="0" fontId="3" fillId="3" borderId="18" xfId="0" applyFont="1" applyFill="1" applyBorder="1" applyAlignment="1">
      <alignment horizontal="right" vertical="center"/>
    </xf>
    <xf numFmtId="0" fontId="3" fillId="3" borderId="11" xfId="0" applyFont="1" applyFill="1" applyBorder="1" applyAlignment="1">
      <alignment horizontal="right" vertical="center"/>
    </xf>
    <xf numFmtId="179" fontId="3" fillId="0" borderId="0" xfId="0" applyNumberFormat="1" applyFont="1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92DAA-3D06-4DC2-924C-B2CFEDDB52BC}">
  <sheetPr>
    <pageSetUpPr fitToPage="1"/>
  </sheetPr>
  <dimension ref="A1:X112"/>
  <sheetViews>
    <sheetView tabSelected="1" topLeftCell="A57" zoomScale="45" zoomScaleNormal="55" workbookViewId="0">
      <selection activeCell="O120" sqref="O120"/>
    </sheetView>
  </sheetViews>
  <sheetFormatPr defaultRowHeight="15" x14ac:dyDescent="0.45"/>
  <cols>
    <col min="1" max="1" width="17" style="2" customWidth="1"/>
    <col min="2" max="2" width="8.796875" style="2"/>
    <col min="3" max="3" width="25.5" style="2" customWidth="1"/>
    <col min="4" max="22" width="10.296875" style="2" customWidth="1"/>
    <col min="23" max="23" width="9.8984375" style="2" customWidth="1"/>
    <col min="24" max="16384" width="8.796875" style="2"/>
  </cols>
  <sheetData>
    <row r="1" spans="1:23" ht="18.600000000000001" x14ac:dyDescent="0.45">
      <c r="A1" s="1" t="s">
        <v>0</v>
      </c>
      <c r="E1" s="3"/>
    </row>
    <row r="3" spans="1:23" ht="22.8" x14ac:dyDescent="0.45">
      <c r="B3" s="7" t="s">
        <v>38</v>
      </c>
      <c r="C3" s="4"/>
      <c r="D3" s="8" t="s">
        <v>1</v>
      </c>
      <c r="E3" s="8" t="s">
        <v>2</v>
      </c>
      <c r="F3" s="8"/>
      <c r="G3" s="8"/>
    </row>
    <row r="4" spans="1:23" ht="22.8" x14ac:dyDescent="0.45">
      <c r="B4" s="9"/>
      <c r="C4" s="10" t="s">
        <v>3</v>
      </c>
      <c r="D4" s="21" t="s">
        <v>4</v>
      </c>
      <c r="E4" s="22" t="s">
        <v>6</v>
      </c>
      <c r="F4" s="23"/>
      <c r="G4" s="23"/>
      <c r="H4" s="23"/>
      <c r="I4" s="23"/>
      <c r="J4" s="23"/>
      <c r="K4" s="23"/>
      <c r="L4" s="23"/>
      <c r="M4" s="23"/>
      <c r="N4" s="21" t="s">
        <v>5</v>
      </c>
      <c r="O4" s="22" t="s">
        <v>6</v>
      </c>
      <c r="P4" s="23"/>
      <c r="Q4" s="23"/>
      <c r="R4" s="23"/>
      <c r="S4" s="23"/>
      <c r="T4" s="23"/>
      <c r="U4" s="23"/>
      <c r="V4" s="23"/>
      <c r="W4" s="24"/>
    </row>
    <row r="5" spans="1:23" ht="22.8" x14ac:dyDescent="0.45">
      <c r="B5" s="9"/>
      <c r="C5" s="11" t="s">
        <v>7</v>
      </c>
      <c r="D5" s="25">
        <v>8.0000000000000002E-3</v>
      </c>
      <c r="E5" s="26">
        <v>0.65</v>
      </c>
      <c r="F5" s="27">
        <v>0.7</v>
      </c>
      <c r="G5" s="27">
        <v>0.75</v>
      </c>
      <c r="H5" s="27">
        <v>0.78</v>
      </c>
      <c r="I5" s="27">
        <v>0.8</v>
      </c>
      <c r="J5" s="27">
        <v>0.82</v>
      </c>
      <c r="K5" s="27">
        <v>0.84</v>
      </c>
      <c r="L5" s="27">
        <v>0.86</v>
      </c>
      <c r="M5" s="27">
        <v>0.9</v>
      </c>
      <c r="N5" s="25">
        <v>8.2000000000000007E-3</v>
      </c>
      <c r="O5" s="26">
        <v>0.65</v>
      </c>
      <c r="P5" s="27">
        <v>0.7</v>
      </c>
      <c r="Q5" s="27">
        <v>0.75</v>
      </c>
      <c r="R5" s="27">
        <v>0.78</v>
      </c>
      <c r="S5" s="27">
        <v>0.8</v>
      </c>
      <c r="T5" s="27">
        <v>0.82</v>
      </c>
      <c r="U5" s="27">
        <v>0.84</v>
      </c>
      <c r="V5" s="27">
        <v>0.86</v>
      </c>
      <c r="W5" s="27">
        <v>0.9</v>
      </c>
    </row>
    <row r="6" spans="1:23" ht="22.8" x14ac:dyDescent="0.45">
      <c r="B6" s="9"/>
      <c r="C6" s="12" t="s">
        <v>8</v>
      </c>
      <c r="D6" s="28" t="s">
        <v>4</v>
      </c>
      <c r="E6" s="29"/>
      <c r="F6" s="29"/>
      <c r="G6" s="29"/>
      <c r="H6" s="29"/>
      <c r="I6" s="29"/>
      <c r="J6" s="29"/>
      <c r="K6" s="29"/>
      <c r="L6" s="29"/>
      <c r="M6" s="30"/>
      <c r="N6" s="28" t="s">
        <v>9</v>
      </c>
      <c r="O6" s="29"/>
      <c r="P6" s="29"/>
      <c r="Q6" s="29"/>
      <c r="R6" s="29"/>
      <c r="S6" s="29"/>
      <c r="T6" s="29"/>
      <c r="U6" s="29"/>
      <c r="V6" s="29"/>
      <c r="W6" s="30"/>
    </row>
    <row r="7" spans="1:23" ht="15.6" thickBot="1" x14ac:dyDescent="0.5">
      <c r="B7" s="13" t="s">
        <v>10</v>
      </c>
      <c r="C7" s="14" t="s">
        <v>11</v>
      </c>
      <c r="D7" s="31" t="s">
        <v>12</v>
      </c>
      <c r="E7" s="31" t="s">
        <v>14</v>
      </c>
      <c r="F7" s="32" t="s">
        <v>15</v>
      </c>
      <c r="G7" s="31" t="s">
        <v>16</v>
      </c>
      <c r="H7" s="32" t="s">
        <v>17</v>
      </c>
      <c r="I7" s="32" t="s">
        <v>18</v>
      </c>
      <c r="J7" s="32" t="s">
        <v>19</v>
      </c>
      <c r="K7" s="32" t="s">
        <v>20</v>
      </c>
      <c r="L7" s="32" t="s">
        <v>21</v>
      </c>
      <c r="M7" s="32" t="s">
        <v>22</v>
      </c>
      <c r="N7" s="32" t="s">
        <v>13</v>
      </c>
      <c r="O7" s="32" t="s">
        <v>23</v>
      </c>
      <c r="P7" s="32" t="s">
        <v>24</v>
      </c>
      <c r="Q7" s="32" t="s">
        <v>25</v>
      </c>
      <c r="R7" s="32" t="s">
        <v>26</v>
      </c>
      <c r="S7" s="32" t="s">
        <v>27</v>
      </c>
      <c r="T7" s="32" t="s">
        <v>28</v>
      </c>
      <c r="U7" s="32" t="s">
        <v>29</v>
      </c>
      <c r="V7" s="32" t="s">
        <v>30</v>
      </c>
      <c r="W7" s="32" t="s">
        <v>31</v>
      </c>
    </row>
    <row r="8" spans="1:23" ht="15.6" thickTop="1" x14ac:dyDescent="0.45">
      <c r="B8" s="15">
        <v>1</v>
      </c>
      <c r="C8" s="16" t="s">
        <v>32</v>
      </c>
      <c r="D8" s="33">
        <v>3.1</v>
      </c>
      <c r="E8" s="34">
        <v>0.1</v>
      </c>
      <c r="F8" s="34">
        <v>0.2</v>
      </c>
      <c r="G8" s="34">
        <v>1.1000000000000001</v>
      </c>
      <c r="H8" s="34">
        <v>2.2000000000000002</v>
      </c>
      <c r="I8" s="34">
        <v>3</v>
      </c>
      <c r="J8" s="34">
        <v>4.2</v>
      </c>
      <c r="K8" s="34">
        <v>6.1</v>
      </c>
      <c r="L8" s="34">
        <v>7.8</v>
      </c>
      <c r="M8" s="34">
        <v>12.2</v>
      </c>
      <c r="N8" s="34">
        <v>4.3</v>
      </c>
      <c r="O8" s="34">
        <v>-0.1</v>
      </c>
      <c r="P8" s="34">
        <v>0.3</v>
      </c>
      <c r="Q8" s="34">
        <v>1.3</v>
      </c>
      <c r="R8" s="34">
        <v>2.2000000000000002</v>
      </c>
      <c r="S8" s="34">
        <v>3.3</v>
      </c>
      <c r="T8" s="34">
        <v>4.5</v>
      </c>
      <c r="U8" s="34">
        <v>6.3</v>
      </c>
      <c r="V8" s="34">
        <v>7.9</v>
      </c>
      <c r="W8" s="34">
        <v>13.7</v>
      </c>
    </row>
    <row r="9" spans="1:23" x14ac:dyDescent="0.45">
      <c r="B9" s="15">
        <v>2</v>
      </c>
      <c r="C9" s="16" t="s">
        <v>32</v>
      </c>
      <c r="D9" s="33">
        <v>3.1</v>
      </c>
      <c r="E9" s="34">
        <v>0.2</v>
      </c>
      <c r="F9" s="34">
        <v>0.2</v>
      </c>
      <c r="G9" s="34">
        <v>1.3</v>
      </c>
      <c r="H9" s="34">
        <v>1.7</v>
      </c>
      <c r="I9" s="34">
        <v>3.2</v>
      </c>
      <c r="J9" s="34">
        <v>3.9</v>
      </c>
      <c r="K9" s="34">
        <v>5.9</v>
      </c>
      <c r="L9" s="34">
        <v>7.1</v>
      </c>
      <c r="M9" s="34">
        <v>13.1</v>
      </c>
      <c r="N9" s="34">
        <v>4.3</v>
      </c>
      <c r="O9" s="34">
        <v>-0.3</v>
      </c>
      <c r="P9" s="34">
        <v>0.6</v>
      </c>
      <c r="Q9" s="34">
        <v>1.5</v>
      </c>
      <c r="R9" s="34">
        <v>2.5</v>
      </c>
      <c r="S9" s="34">
        <v>3.1</v>
      </c>
      <c r="T9" s="34">
        <v>4.9000000000000004</v>
      </c>
      <c r="U9" s="34">
        <v>6.4</v>
      </c>
      <c r="V9" s="34">
        <v>7.9</v>
      </c>
      <c r="W9" s="34">
        <v>13.3</v>
      </c>
    </row>
    <row r="10" spans="1:23" x14ac:dyDescent="0.45">
      <c r="B10" s="19">
        <v>3</v>
      </c>
      <c r="C10" s="20" t="s">
        <v>32</v>
      </c>
      <c r="D10" s="35">
        <v>3.1</v>
      </c>
      <c r="E10" s="36">
        <v>-0.1</v>
      </c>
      <c r="F10" s="36">
        <v>0.5</v>
      </c>
      <c r="G10" s="36">
        <v>1.1000000000000001</v>
      </c>
      <c r="H10" s="36">
        <v>1.8</v>
      </c>
      <c r="I10" s="36">
        <v>3.7</v>
      </c>
      <c r="J10" s="36">
        <v>4.0999999999999996</v>
      </c>
      <c r="K10" s="36">
        <v>6.1</v>
      </c>
      <c r="L10" s="36">
        <v>7.8</v>
      </c>
      <c r="M10" s="36">
        <v>13.1</v>
      </c>
      <c r="N10" s="36">
        <v>4.4000000000000004</v>
      </c>
      <c r="O10" s="36">
        <v>-0.1</v>
      </c>
      <c r="P10" s="36">
        <v>0.5</v>
      </c>
      <c r="Q10" s="36">
        <v>1.3</v>
      </c>
      <c r="R10" s="36">
        <v>2.1</v>
      </c>
      <c r="S10" s="36">
        <v>3</v>
      </c>
      <c r="T10" s="36">
        <v>4.5</v>
      </c>
      <c r="U10" s="36">
        <v>6.2</v>
      </c>
      <c r="V10" s="36">
        <v>8.3000000000000007</v>
      </c>
      <c r="W10" s="36">
        <v>13.4</v>
      </c>
    </row>
    <row r="11" spans="1:23" x14ac:dyDescent="0.45">
      <c r="B11" s="15">
        <v>4</v>
      </c>
      <c r="C11" s="16" t="s">
        <v>33</v>
      </c>
      <c r="D11" s="33">
        <v>10.3</v>
      </c>
      <c r="E11" s="34">
        <v>3.5</v>
      </c>
      <c r="F11" s="34">
        <v>4.4000000000000004</v>
      </c>
      <c r="G11" s="34">
        <v>7</v>
      </c>
      <c r="H11" s="34">
        <v>8.3000000000000007</v>
      </c>
      <c r="I11" s="34">
        <v>9.4</v>
      </c>
      <c r="J11" s="34">
        <v>11.4</v>
      </c>
      <c r="K11" s="34">
        <v>12.6</v>
      </c>
      <c r="L11" s="34">
        <v>14.7</v>
      </c>
      <c r="M11" s="34">
        <v>20.3</v>
      </c>
      <c r="N11" s="34">
        <v>12.5</v>
      </c>
      <c r="O11" s="34">
        <v>3.1</v>
      </c>
      <c r="P11" s="34">
        <v>5</v>
      </c>
      <c r="Q11" s="34">
        <v>7.3</v>
      </c>
      <c r="R11" s="34">
        <v>9.1</v>
      </c>
      <c r="S11" s="34">
        <v>10.3</v>
      </c>
      <c r="T11" s="34">
        <v>11.9</v>
      </c>
      <c r="U11" s="34">
        <v>13.2</v>
      </c>
      <c r="V11" s="34">
        <v>14.9</v>
      </c>
      <c r="W11" s="34">
        <v>20.3</v>
      </c>
    </row>
    <row r="12" spans="1:23" x14ac:dyDescent="0.45">
      <c r="B12" s="15">
        <v>5</v>
      </c>
      <c r="C12" s="16" t="s">
        <v>33</v>
      </c>
      <c r="D12" s="33">
        <v>10.3</v>
      </c>
      <c r="E12" s="34">
        <v>3</v>
      </c>
      <c r="F12" s="34">
        <v>4.5</v>
      </c>
      <c r="G12" s="34">
        <v>7</v>
      </c>
      <c r="H12" s="34">
        <v>8.6999999999999993</v>
      </c>
      <c r="I12" s="34">
        <v>10.1</v>
      </c>
      <c r="J12" s="34">
        <v>10.9</v>
      </c>
      <c r="K12" s="34">
        <v>13.7</v>
      </c>
      <c r="L12" s="34">
        <v>14.8</v>
      </c>
      <c r="M12" s="34">
        <v>20.5</v>
      </c>
      <c r="N12" s="34">
        <v>12.6</v>
      </c>
      <c r="O12" s="34">
        <v>3.4</v>
      </c>
      <c r="P12" s="34">
        <v>5.3</v>
      </c>
      <c r="Q12" s="34">
        <v>7.3</v>
      </c>
      <c r="R12" s="34">
        <v>8.5</v>
      </c>
      <c r="S12" s="34">
        <v>10.199999999999999</v>
      </c>
      <c r="T12" s="34">
        <v>11.9</v>
      </c>
      <c r="U12" s="34">
        <v>14.2</v>
      </c>
      <c r="V12" s="34">
        <v>15.5</v>
      </c>
      <c r="W12" s="34">
        <v>21</v>
      </c>
    </row>
    <row r="13" spans="1:23" x14ac:dyDescent="0.45">
      <c r="B13" s="19">
        <v>6</v>
      </c>
      <c r="C13" s="20" t="s">
        <v>91</v>
      </c>
      <c r="D13" s="35">
        <v>10.9</v>
      </c>
      <c r="E13" s="36">
        <v>2.9</v>
      </c>
      <c r="F13" s="36">
        <v>4.3</v>
      </c>
      <c r="G13" s="36">
        <v>6.7</v>
      </c>
      <c r="H13" s="36">
        <v>8.1999999999999993</v>
      </c>
      <c r="I13" s="36">
        <v>9.6999999999999993</v>
      </c>
      <c r="J13" s="36">
        <v>11.6</v>
      </c>
      <c r="K13" s="36">
        <v>13.6</v>
      </c>
      <c r="L13" s="36">
        <v>14.9</v>
      </c>
      <c r="M13" s="36">
        <v>20.2</v>
      </c>
      <c r="N13" s="36">
        <v>12.8</v>
      </c>
      <c r="O13" s="36">
        <v>2.9</v>
      </c>
      <c r="P13" s="36">
        <v>4.9000000000000004</v>
      </c>
      <c r="Q13" s="36">
        <v>7.3</v>
      </c>
      <c r="R13" s="36">
        <v>8.5</v>
      </c>
      <c r="S13" s="36">
        <v>10.4</v>
      </c>
      <c r="T13" s="36">
        <v>12.3</v>
      </c>
      <c r="U13" s="36">
        <v>14.5</v>
      </c>
      <c r="V13" s="36">
        <v>15.5</v>
      </c>
      <c r="W13" s="36">
        <v>21.1</v>
      </c>
    </row>
    <row r="14" spans="1:23" x14ac:dyDescent="0.45">
      <c r="B14" s="15">
        <v>7</v>
      </c>
      <c r="C14" s="16" t="s">
        <v>34</v>
      </c>
      <c r="D14" s="33">
        <v>16.100000000000001</v>
      </c>
      <c r="E14" s="34">
        <v>5.5</v>
      </c>
      <c r="F14" s="34">
        <v>8.1999999999999993</v>
      </c>
      <c r="G14" s="34">
        <v>11.2</v>
      </c>
      <c r="H14" s="34">
        <v>13.6</v>
      </c>
      <c r="I14" s="34">
        <v>15.5</v>
      </c>
      <c r="J14" s="34">
        <v>17.5</v>
      </c>
      <c r="K14" s="34">
        <v>19.7</v>
      </c>
      <c r="L14" s="34">
        <v>21</v>
      </c>
      <c r="M14" s="34">
        <v>27.2</v>
      </c>
      <c r="N14" s="34">
        <v>18.5</v>
      </c>
      <c r="O14" s="34">
        <v>6.1</v>
      </c>
      <c r="P14" s="34">
        <v>8.1</v>
      </c>
      <c r="Q14" s="34">
        <v>11.7</v>
      </c>
      <c r="R14" s="34">
        <v>14.9</v>
      </c>
      <c r="S14" s="34">
        <v>15.8</v>
      </c>
      <c r="T14" s="34">
        <v>17.899999999999999</v>
      </c>
      <c r="U14" s="34">
        <v>19.899999999999999</v>
      </c>
      <c r="V14" s="34">
        <v>21.9</v>
      </c>
      <c r="W14" s="34">
        <v>27.9</v>
      </c>
    </row>
    <row r="15" spans="1:23" x14ac:dyDescent="0.45">
      <c r="B15" s="15">
        <v>8</v>
      </c>
      <c r="C15" s="16" t="s">
        <v>34</v>
      </c>
      <c r="D15" s="33">
        <v>15.7</v>
      </c>
      <c r="E15" s="34">
        <v>5.6</v>
      </c>
      <c r="F15" s="34">
        <v>7.7</v>
      </c>
      <c r="G15" s="34">
        <v>10.5</v>
      </c>
      <c r="H15" s="34">
        <v>13.3</v>
      </c>
      <c r="I15" s="34">
        <v>14.6</v>
      </c>
      <c r="J15" s="34">
        <v>17.399999999999999</v>
      </c>
      <c r="K15" s="34">
        <v>19.100000000000001</v>
      </c>
      <c r="L15" s="34">
        <v>21.2</v>
      </c>
      <c r="M15" s="34">
        <v>27</v>
      </c>
      <c r="N15" s="34">
        <v>17.5</v>
      </c>
      <c r="O15" s="34">
        <v>6.5</v>
      </c>
      <c r="P15" s="34">
        <v>8.3000000000000007</v>
      </c>
      <c r="Q15" s="34">
        <v>12.1</v>
      </c>
      <c r="R15" s="34">
        <v>14.4</v>
      </c>
      <c r="S15" s="34">
        <v>15.7</v>
      </c>
      <c r="T15" s="34">
        <v>17.7</v>
      </c>
      <c r="U15" s="34">
        <v>20.399999999999999</v>
      </c>
      <c r="V15" s="34">
        <v>21.7</v>
      </c>
      <c r="W15" s="34">
        <v>27.2</v>
      </c>
    </row>
    <row r="16" spans="1:23" x14ac:dyDescent="0.45">
      <c r="B16" s="19">
        <v>9</v>
      </c>
      <c r="C16" s="20" t="s">
        <v>92</v>
      </c>
      <c r="D16" s="35">
        <v>15.5</v>
      </c>
      <c r="E16" s="36">
        <v>6</v>
      </c>
      <c r="F16" s="36">
        <v>7.9</v>
      </c>
      <c r="G16" s="36">
        <v>11.3</v>
      </c>
      <c r="H16" s="36">
        <v>13.7</v>
      </c>
      <c r="I16" s="36">
        <v>14.6</v>
      </c>
      <c r="J16" s="36">
        <v>16.7</v>
      </c>
      <c r="K16" s="36">
        <v>19.600000000000001</v>
      </c>
      <c r="L16" s="36">
        <v>21.6</v>
      </c>
      <c r="M16" s="36">
        <v>27</v>
      </c>
      <c r="N16" s="36">
        <v>17.899999999999999</v>
      </c>
      <c r="O16" s="36">
        <v>5.4</v>
      </c>
      <c r="P16" s="36">
        <v>8.6</v>
      </c>
      <c r="Q16" s="36">
        <v>11.6</v>
      </c>
      <c r="R16" s="36">
        <v>14.1</v>
      </c>
      <c r="S16" s="36">
        <v>15.7</v>
      </c>
      <c r="T16" s="36">
        <v>17.8</v>
      </c>
      <c r="U16" s="36">
        <v>20.5</v>
      </c>
      <c r="V16" s="36">
        <v>22.5</v>
      </c>
      <c r="W16" s="36">
        <v>27.7</v>
      </c>
    </row>
    <row r="17" spans="2:23" x14ac:dyDescent="0.45">
      <c r="B17" s="15">
        <v>10</v>
      </c>
      <c r="C17" s="16" t="s">
        <v>35</v>
      </c>
      <c r="D17" s="33">
        <v>22.1</v>
      </c>
      <c r="E17" s="34">
        <v>8.6</v>
      </c>
      <c r="F17" s="34">
        <v>12.5</v>
      </c>
      <c r="G17" s="34">
        <v>16.5</v>
      </c>
      <c r="H17" s="34">
        <v>19.899999999999999</v>
      </c>
      <c r="I17" s="34">
        <v>21.8</v>
      </c>
      <c r="J17" s="34">
        <v>23.9</v>
      </c>
      <c r="K17" s="34">
        <v>26.5</v>
      </c>
      <c r="L17" s="34">
        <v>28</v>
      </c>
      <c r="M17" s="34">
        <v>33.700000000000003</v>
      </c>
      <c r="N17" s="34">
        <v>25.2</v>
      </c>
      <c r="O17" s="34">
        <v>9.9</v>
      </c>
      <c r="P17" s="34">
        <v>13.7</v>
      </c>
      <c r="Q17" s="34">
        <v>17.7</v>
      </c>
      <c r="R17" s="34">
        <v>20.2</v>
      </c>
      <c r="S17" s="34">
        <v>23.4</v>
      </c>
      <c r="T17" s="34">
        <v>24.8</v>
      </c>
      <c r="U17" s="34">
        <v>26.9</v>
      </c>
      <c r="V17" s="34">
        <v>28.7</v>
      </c>
      <c r="W17" s="34">
        <v>34.700000000000003</v>
      </c>
    </row>
    <row r="18" spans="2:23" x14ac:dyDescent="0.45">
      <c r="B18" s="15">
        <v>11</v>
      </c>
      <c r="C18" s="16" t="s">
        <v>35</v>
      </c>
      <c r="D18" s="33">
        <v>22.1</v>
      </c>
      <c r="E18" s="34">
        <v>9</v>
      </c>
      <c r="F18" s="34">
        <v>12.1</v>
      </c>
      <c r="G18" s="34">
        <v>16.100000000000001</v>
      </c>
      <c r="H18" s="34">
        <v>19</v>
      </c>
      <c r="I18" s="34">
        <v>21.3</v>
      </c>
      <c r="J18" s="34">
        <v>24.1</v>
      </c>
      <c r="K18" s="34">
        <v>25.9</v>
      </c>
      <c r="L18" s="34">
        <v>27.7</v>
      </c>
      <c r="M18" s="34">
        <v>34.5</v>
      </c>
      <c r="N18" s="34">
        <v>25.1</v>
      </c>
      <c r="O18" s="34">
        <v>9.6999999999999993</v>
      </c>
      <c r="P18" s="34">
        <v>13.7</v>
      </c>
      <c r="Q18" s="34">
        <v>17.7</v>
      </c>
      <c r="R18" s="34">
        <v>20.5</v>
      </c>
      <c r="S18" s="34">
        <v>23.3</v>
      </c>
      <c r="T18" s="34">
        <v>25.3</v>
      </c>
      <c r="U18" s="34">
        <v>27.4</v>
      </c>
      <c r="V18" s="34">
        <v>28.1</v>
      </c>
      <c r="W18" s="34">
        <v>35.1</v>
      </c>
    </row>
    <row r="19" spans="2:23" x14ac:dyDescent="0.45">
      <c r="B19" s="19">
        <v>12</v>
      </c>
      <c r="C19" s="20" t="s">
        <v>93</v>
      </c>
      <c r="D19" s="35">
        <v>23.2</v>
      </c>
      <c r="E19" s="36">
        <v>8.6</v>
      </c>
      <c r="F19" s="36">
        <v>12.3</v>
      </c>
      <c r="G19" s="36">
        <v>16.8</v>
      </c>
      <c r="H19" s="36">
        <v>18.600000000000001</v>
      </c>
      <c r="I19" s="36">
        <v>20.3</v>
      </c>
      <c r="J19" s="36">
        <v>23.1</v>
      </c>
      <c r="K19" s="36">
        <v>26.2</v>
      </c>
      <c r="L19" s="36">
        <v>29.3</v>
      </c>
      <c r="M19" s="36">
        <v>34.799999999999997</v>
      </c>
      <c r="N19" s="36">
        <v>25.4</v>
      </c>
      <c r="O19" s="36">
        <v>10</v>
      </c>
      <c r="P19" s="36">
        <v>13.3</v>
      </c>
      <c r="Q19" s="36">
        <v>17.399999999999999</v>
      </c>
      <c r="R19" s="36">
        <v>21.1</v>
      </c>
      <c r="S19" s="36">
        <v>22.7</v>
      </c>
      <c r="T19" s="36">
        <v>24.9</v>
      </c>
      <c r="U19" s="36">
        <v>27.1</v>
      </c>
      <c r="V19" s="36">
        <v>30.1</v>
      </c>
      <c r="W19" s="36">
        <v>35.6</v>
      </c>
    </row>
    <row r="20" spans="2:23" x14ac:dyDescent="0.45">
      <c r="B20" s="15">
        <v>13</v>
      </c>
      <c r="C20" s="16" t="s">
        <v>36</v>
      </c>
      <c r="D20" s="33">
        <v>35.9</v>
      </c>
      <c r="E20" s="34">
        <v>16.600000000000001</v>
      </c>
      <c r="F20" s="34">
        <v>22.1</v>
      </c>
      <c r="G20" s="34">
        <v>27.3</v>
      </c>
      <c r="H20" s="34">
        <v>31.5</v>
      </c>
      <c r="I20" s="34">
        <v>34.299999999999997</v>
      </c>
      <c r="J20" s="34">
        <v>36.1</v>
      </c>
      <c r="K20" s="34">
        <v>39.700000000000003</v>
      </c>
      <c r="L20" s="34">
        <v>41.5</v>
      </c>
      <c r="M20" s="34">
        <v>47.9</v>
      </c>
      <c r="N20" s="34">
        <v>39.200000000000003</v>
      </c>
      <c r="O20" s="34">
        <v>18.7</v>
      </c>
      <c r="P20" s="34">
        <v>24.7</v>
      </c>
      <c r="Q20" s="34">
        <v>30.3</v>
      </c>
      <c r="R20" s="34">
        <v>33.700000000000003</v>
      </c>
      <c r="S20" s="34">
        <v>36.200000000000003</v>
      </c>
      <c r="T20" s="34">
        <v>38.299999999999997</v>
      </c>
      <c r="U20" s="34">
        <v>40.700000000000003</v>
      </c>
      <c r="V20" s="34">
        <v>43.1</v>
      </c>
      <c r="W20" s="34">
        <v>49.5</v>
      </c>
    </row>
    <row r="21" spans="2:23" x14ac:dyDescent="0.45">
      <c r="B21" s="15">
        <v>14</v>
      </c>
      <c r="C21" s="16" t="s">
        <v>36</v>
      </c>
      <c r="D21" s="33">
        <v>34.700000000000003</v>
      </c>
      <c r="E21" s="34">
        <v>16.600000000000001</v>
      </c>
      <c r="F21" s="34">
        <v>22.7</v>
      </c>
      <c r="G21" s="34">
        <v>28.1</v>
      </c>
      <c r="H21" s="34">
        <v>32.299999999999997</v>
      </c>
      <c r="I21" s="34">
        <v>34.9</v>
      </c>
      <c r="J21" s="34">
        <v>35.700000000000003</v>
      </c>
      <c r="K21" s="34">
        <v>38.700000000000003</v>
      </c>
      <c r="L21" s="34">
        <v>41</v>
      </c>
      <c r="M21" s="34">
        <v>47.7</v>
      </c>
      <c r="N21" s="34">
        <v>38.5</v>
      </c>
      <c r="O21" s="34">
        <v>19.600000000000001</v>
      </c>
      <c r="P21" s="34">
        <v>24.3</v>
      </c>
      <c r="Q21" s="34">
        <v>30.7</v>
      </c>
      <c r="R21" s="34">
        <v>33.700000000000003</v>
      </c>
      <c r="S21" s="34">
        <v>35.5</v>
      </c>
      <c r="T21" s="34">
        <v>39.299999999999997</v>
      </c>
      <c r="U21" s="34">
        <v>40</v>
      </c>
      <c r="V21" s="34">
        <v>42.2</v>
      </c>
      <c r="W21" s="34">
        <v>50.4</v>
      </c>
    </row>
    <row r="22" spans="2:23" x14ac:dyDescent="0.45">
      <c r="B22" s="19">
        <v>15</v>
      </c>
      <c r="C22" s="20" t="s">
        <v>94</v>
      </c>
      <c r="D22" s="35">
        <v>34.9</v>
      </c>
      <c r="E22" s="36">
        <v>16.600000000000001</v>
      </c>
      <c r="F22" s="36">
        <v>22.1</v>
      </c>
      <c r="G22" s="36">
        <v>28.3</v>
      </c>
      <c r="H22" s="36">
        <v>33.1</v>
      </c>
      <c r="I22" s="36">
        <v>34.5</v>
      </c>
      <c r="J22" s="36">
        <v>37.1</v>
      </c>
      <c r="K22" s="36">
        <v>39.6</v>
      </c>
      <c r="L22" s="36">
        <v>41.9</v>
      </c>
      <c r="M22" s="36">
        <v>47.9</v>
      </c>
      <c r="N22" s="36">
        <v>39.200000000000003</v>
      </c>
      <c r="O22" s="36">
        <v>19.399999999999999</v>
      </c>
      <c r="P22" s="36">
        <v>24.4</v>
      </c>
      <c r="Q22" s="36">
        <v>29.6</v>
      </c>
      <c r="R22" s="36">
        <v>34.5</v>
      </c>
      <c r="S22" s="36">
        <v>36.700000000000003</v>
      </c>
      <c r="T22" s="36">
        <v>39.700000000000003</v>
      </c>
      <c r="U22" s="36">
        <v>41.2</v>
      </c>
      <c r="V22" s="36">
        <v>43.9</v>
      </c>
      <c r="W22" s="36">
        <v>49.6</v>
      </c>
    </row>
    <row r="23" spans="2:23" x14ac:dyDescent="0.45">
      <c r="B23" s="15">
        <v>16</v>
      </c>
      <c r="C23" s="16" t="s">
        <v>37</v>
      </c>
      <c r="D23" s="33">
        <v>50.3</v>
      </c>
      <c r="E23" s="34">
        <v>28.9</v>
      </c>
      <c r="F23" s="34">
        <v>35.9</v>
      </c>
      <c r="G23" s="34">
        <v>43.9</v>
      </c>
      <c r="H23" s="34">
        <v>46.3</v>
      </c>
      <c r="I23" s="34">
        <v>50.7</v>
      </c>
      <c r="J23" s="34">
        <v>52.1</v>
      </c>
      <c r="K23" s="34">
        <v>55.5</v>
      </c>
      <c r="L23" s="34">
        <v>56.7</v>
      </c>
      <c r="M23" s="34">
        <v>62.9</v>
      </c>
      <c r="N23" s="34">
        <v>56.4</v>
      </c>
      <c r="O23" s="34">
        <v>32.5</v>
      </c>
      <c r="P23" s="34">
        <v>40.200000000000003</v>
      </c>
      <c r="Q23" s="34">
        <v>47.7</v>
      </c>
      <c r="R23" s="34">
        <v>51.2</v>
      </c>
      <c r="S23" s="34">
        <v>54.3</v>
      </c>
      <c r="T23" s="34">
        <v>55.7</v>
      </c>
      <c r="U23" s="34">
        <v>59</v>
      </c>
      <c r="V23" s="34">
        <v>61.7</v>
      </c>
      <c r="W23" s="34">
        <v>68.3</v>
      </c>
    </row>
    <row r="24" spans="2:23" x14ac:dyDescent="0.45">
      <c r="B24" s="15">
        <v>17</v>
      </c>
      <c r="C24" s="16" t="s">
        <v>37</v>
      </c>
      <c r="D24" s="33">
        <v>50.7</v>
      </c>
      <c r="E24" s="34">
        <v>30.1</v>
      </c>
      <c r="F24" s="34">
        <v>35.6</v>
      </c>
      <c r="G24" s="34">
        <v>43.9</v>
      </c>
      <c r="H24" s="34">
        <v>45.3</v>
      </c>
      <c r="I24" s="34">
        <v>51.3</v>
      </c>
      <c r="J24" s="34">
        <v>52.3</v>
      </c>
      <c r="K24" s="34">
        <v>55.5</v>
      </c>
      <c r="L24" s="34">
        <v>56.2</v>
      </c>
      <c r="M24" s="34">
        <v>64.099999999999994</v>
      </c>
      <c r="N24" s="34">
        <v>57.3</v>
      </c>
      <c r="O24" s="34">
        <v>33.5</v>
      </c>
      <c r="P24" s="34">
        <v>39.5</v>
      </c>
      <c r="Q24" s="34">
        <v>46.3</v>
      </c>
      <c r="R24" s="34">
        <v>50.8</v>
      </c>
      <c r="S24" s="34">
        <v>54.1</v>
      </c>
      <c r="T24" s="34">
        <v>57.9</v>
      </c>
      <c r="U24" s="34">
        <v>59.7</v>
      </c>
      <c r="V24" s="34">
        <v>60.1</v>
      </c>
      <c r="W24" s="34">
        <v>66</v>
      </c>
    </row>
    <row r="25" spans="2:23" x14ac:dyDescent="0.45">
      <c r="B25" s="17">
        <v>18</v>
      </c>
      <c r="C25" s="18" t="s">
        <v>37</v>
      </c>
      <c r="D25" s="37">
        <v>51.1</v>
      </c>
      <c r="E25" s="38">
        <v>30.1</v>
      </c>
      <c r="F25" s="38">
        <v>36.799999999999997</v>
      </c>
      <c r="G25" s="38">
        <v>42.9</v>
      </c>
      <c r="H25" s="38">
        <v>47.7</v>
      </c>
      <c r="I25" s="38">
        <v>49.9</v>
      </c>
      <c r="J25" s="38">
        <v>53.1</v>
      </c>
      <c r="K25" s="38">
        <v>56.3</v>
      </c>
      <c r="L25" s="38">
        <v>58.3</v>
      </c>
      <c r="M25" s="38">
        <v>64.5</v>
      </c>
      <c r="N25" s="38">
        <v>55.9</v>
      </c>
      <c r="O25" s="38">
        <v>33.1</v>
      </c>
      <c r="P25" s="38">
        <v>39.799999999999997</v>
      </c>
      <c r="Q25" s="38">
        <v>47.2</v>
      </c>
      <c r="R25" s="38">
        <v>50</v>
      </c>
      <c r="S25" s="38">
        <v>51.7</v>
      </c>
      <c r="T25" s="38">
        <v>55.1</v>
      </c>
      <c r="U25" s="38"/>
      <c r="V25" s="38"/>
      <c r="W25" s="38"/>
    </row>
    <row r="26" spans="2:23" x14ac:dyDescent="0.45">
      <c r="B26" s="4"/>
      <c r="C26" s="4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</row>
    <row r="27" spans="2:23" ht="22.8" x14ac:dyDescent="0.45">
      <c r="B27" s="7" t="s">
        <v>38</v>
      </c>
      <c r="C27" s="4"/>
      <c r="D27" s="8" t="s">
        <v>1</v>
      </c>
      <c r="E27" s="8" t="s">
        <v>2</v>
      </c>
      <c r="F27" s="8"/>
      <c r="G27" s="8"/>
    </row>
    <row r="28" spans="2:23" ht="22.8" x14ac:dyDescent="0.45">
      <c r="B28" s="9"/>
      <c r="C28" s="10" t="s">
        <v>3</v>
      </c>
      <c r="D28" s="21" t="s">
        <v>4</v>
      </c>
      <c r="E28" s="22" t="s">
        <v>6</v>
      </c>
      <c r="F28" s="23"/>
      <c r="G28" s="23"/>
      <c r="H28" s="23"/>
      <c r="I28" s="23"/>
      <c r="J28" s="23"/>
      <c r="K28" s="23"/>
      <c r="L28" s="23"/>
      <c r="M28" s="23"/>
      <c r="N28" s="21" t="s">
        <v>5</v>
      </c>
      <c r="O28" s="22" t="s">
        <v>6</v>
      </c>
      <c r="P28" s="23"/>
      <c r="Q28" s="23"/>
      <c r="R28" s="23"/>
      <c r="S28" s="23"/>
      <c r="T28" s="23"/>
      <c r="U28" s="23"/>
      <c r="V28" s="23"/>
      <c r="W28" s="24"/>
    </row>
    <row r="29" spans="2:23" ht="22.8" x14ac:dyDescent="0.45">
      <c r="B29" s="9"/>
      <c r="C29" s="11" t="s">
        <v>7</v>
      </c>
      <c r="D29" s="25">
        <v>8.0000000000000002E-3</v>
      </c>
      <c r="E29" s="26">
        <v>0.65</v>
      </c>
      <c r="F29" s="27">
        <v>0.7</v>
      </c>
      <c r="G29" s="27">
        <v>0.75</v>
      </c>
      <c r="H29" s="27">
        <v>0.78</v>
      </c>
      <c r="I29" s="27">
        <v>0.8</v>
      </c>
      <c r="J29" s="27">
        <v>0.82</v>
      </c>
      <c r="K29" s="27">
        <v>0.84</v>
      </c>
      <c r="L29" s="27">
        <v>0.86</v>
      </c>
      <c r="M29" s="27">
        <v>0.9</v>
      </c>
      <c r="N29" s="25">
        <v>8.2000000000000007E-3</v>
      </c>
      <c r="O29" s="26">
        <v>0.65</v>
      </c>
      <c r="P29" s="27">
        <v>0.7</v>
      </c>
      <c r="Q29" s="27">
        <v>0.75</v>
      </c>
      <c r="R29" s="27">
        <v>0.78</v>
      </c>
      <c r="S29" s="27">
        <v>0.8</v>
      </c>
      <c r="T29" s="27">
        <v>0.82</v>
      </c>
      <c r="U29" s="27">
        <v>0.84</v>
      </c>
      <c r="V29" s="27">
        <v>0.86</v>
      </c>
      <c r="W29" s="27">
        <v>0.9</v>
      </c>
    </row>
    <row r="30" spans="2:23" ht="22.8" x14ac:dyDescent="0.45">
      <c r="B30" s="9"/>
      <c r="C30" s="12" t="s">
        <v>8</v>
      </c>
      <c r="D30" s="28" t="s">
        <v>4</v>
      </c>
      <c r="E30" s="29"/>
      <c r="F30" s="29"/>
      <c r="G30" s="29"/>
      <c r="H30" s="29"/>
      <c r="I30" s="29"/>
      <c r="J30" s="29"/>
      <c r="K30" s="29"/>
      <c r="L30" s="29"/>
      <c r="M30" s="30"/>
      <c r="N30" s="28" t="s">
        <v>9</v>
      </c>
      <c r="O30" s="29"/>
      <c r="P30" s="29"/>
      <c r="Q30" s="29"/>
      <c r="R30" s="29"/>
      <c r="S30" s="29"/>
      <c r="T30" s="29"/>
      <c r="U30" s="29"/>
      <c r="V30" s="29"/>
      <c r="W30" s="30"/>
    </row>
    <row r="31" spans="2:23" ht="15.6" thickBot="1" x14ac:dyDescent="0.5">
      <c r="B31" s="13" t="s">
        <v>10</v>
      </c>
      <c r="C31" s="14" t="s">
        <v>11</v>
      </c>
      <c r="D31" s="31" t="s">
        <v>12</v>
      </c>
      <c r="E31" s="31" t="s">
        <v>14</v>
      </c>
      <c r="F31" s="32" t="s">
        <v>15</v>
      </c>
      <c r="G31" s="31" t="s">
        <v>16</v>
      </c>
      <c r="H31" s="32" t="s">
        <v>17</v>
      </c>
      <c r="I31" s="32" t="s">
        <v>18</v>
      </c>
      <c r="J31" s="32" t="s">
        <v>19</v>
      </c>
      <c r="K31" s="32" t="s">
        <v>20</v>
      </c>
      <c r="L31" s="32" t="s">
        <v>21</v>
      </c>
      <c r="M31" s="32" t="s">
        <v>22</v>
      </c>
      <c r="N31" s="32" t="s">
        <v>13</v>
      </c>
      <c r="O31" s="32" t="s">
        <v>23</v>
      </c>
      <c r="P31" s="32" t="s">
        <v>24</v>
      </c>
      <c r="Q31" s="32" t="s">
        <v>25</v>
      </c>
      <c r="R31" s="32" t="s">
        <v>26</v>
      </c>
      <c r="S31" s="32" t="s">
        <v>27</v>
      </c>
      <c r="T31" s="32" t="s">
        <v>28</v>
      </c>
      <c r="U31" s="32" t="s">
        <v>29</v>
      </c>
      <c r="V31" s="32" t="s">
        <v>30</v>
      </c>
      <c r="W31" s="32" t="s">
        <v>31</v>
      </c>
    </row>
    <row r="32" spans="2:23" ht="15.6" thickTop="1" x14ac:dyDescent="0.45">
      <c r="B32" s="15">
        <v>1</v>
      </c>
      <c r="C32" s="16" t="s">
        <v>32</v>
      </c>
      <c r="D32" s="33">
        <f>MEDIAN(D8:D10)</f>
        <v>3.1</v>
      </c>
      <c r="E32" s="34">
        <f t="shared" ref="E32:W32" si="0">MEDIAN(E8:E10)</f>
        <v>0.1</v>
      </c>
      <c r="F32" s="34">
        <f t="shared" si="0"/>
        <v>0.2</v>
      </c>
      <c r="G32" s="34">
        <f t="shared" si="0"/>
        <v>1.1000000000000001</v>
      </c>
      <c r="H32" s="34">
        <f t="shared" si="0"/>
        <v>1.8</v>
      </c>
      <c r="I32" s="34">
        <f t="shared" si="0"/>
        <v>3.2</v>
      </c>
      <c r="J32" s="34">
        <f t="shared" si="0"/>
        <v>4.0999999999999996</v>
      </c>
      <c r="K32" s="34">
        <f t="shared" si="0"/>
        <v>6.1</v>
      </c>
      <c r="L32" s="34">
        <f t="shared" si="0"/>
        <v>7.8</v>
      </c>
      <c r="M32" s="34">
        <f t="shared" si="0"/>
        <v>13.1</v>
      </c>
      <c r="N32" s="34">
        <f t="shared" si="0"/>
        <v>4.3</v>
      </c>
      <c r="O32" s="34">
        <f t="shared" si="0"/>
        <v>-0.1</v>
      </c>
      <c r="P32" s="34">
        <f t="shared" si="0"/>
        <v>0.5</v>
      </c>
      <c r="Q32" s="34">
        <f t="shared" si="0"/>
        <v>1.3</v>
      </c>
      <c r="R32" s="34">
        <f t="shared" si="0"/>
        <v>2.2000000000000002</v>
      </c>
      <c r="S32" s="34">
        <f t="shared" si="0"/>
        <v>3.1</v>
      </c>
      <c r="T32" s="34">
        <f t="shared" si="0"/>
        <v>4.5</v>
      </c>
      <c r="U32" s="34">
        <f t="shared" si="0"/>
        <v>6.3</v>
      </c>
      <c r="V32" s="34">
        <f t="shared" si="0"/>
        <v>7.9</v>
      </c>
      <c r="W32" s="34">
        <f t="shared" si="0"/>
        <v>13.4</v>
      </c>
    </row>
    <row r="33" spans="2:23" x14ac:dyDescent="0.45">
      <c r="B33" s="15">
        <v>2</v>
      </c>
      <c r="C33" s="16" t="s">
        <v>33</v>
      </c>
      <c r="D33" s="33">
        <f>MEDIAN(D11:D13)</f>
        <v>10.3</v>
      </c>
      <c r="E33" s="34">
        <f t="shared" ref="E33:W33" si="1">MEDIAN(E11:E13)</f>
        <v>3</v>
      </c>
      <c r="F33" s="34">
        <f t="shared" si="1"/>
        <v>4.4000000000000004</v>
      </c>
      <c r="G33" s="34">
        <f t="shared" si="1"/>
        <v>7</v>
      </c>
      <c r="H33" s="34">
        <f t="shared" si="1"/>
        <v>8.3000000000000007</v>
      </c>
      <c r="I33" s="34">
        <f t="shared" si="1"/>
        <v>9.6999999999999993</v>
      </c>
      <c r="J33" s="34">
        <f t="shared" si="1"/>
        <v>11.4</v>
      </c>
      <c r="K33" s="34">
        <f t="shared" si="1"/>
        <v>13.6</v>
      </c>
      <c r="L33" s="34">
        <f t="shared" si="1"/>
        <v>14.8</v>
      </c>
      <c r="M33" s="34">
        <f t="shared" si="1"/>
        <v>20.3</v>
      </c>
      <c r="N33" s="34">
        <f t="shared" si="1"/>
        <v>12.6</v>
      </c>
      <c r="O33" s="34">
        <f t="shared" si="1"/>
        <v>3.1</v>
      </c>
      <c r="P33" s="34">
        <f t="shared" si="1"/>
        <v>5</v>
      </c>
      <c r="Q33" s="34">
        <f t="shared" si="1"/>
        <v>7.3</v>
      </c>
      <c r="R33" s="34">
        <f t="shared" si="1"/>
        <v>8.5</v>
      </c>
      <c r="S33" s="34">
        <f t="shared" si="1"/>
        <v>10.3</v>
      </c>
      <c r="T33" s="34">
        <f t="shared" si="1"/>
        <v>11.9</v>
      </c>
      <c r="U33" s="34">
        <f t="shared" si="1"/>
        <v>14.2</v>
      </c>
      <c r="V33" s="34">
        <f t="shared" si="1"/>
        <v>15.5</v>
      </c>
      <c r="W33" s="34">
        <f t="shared" si="1"/>
        <v>21</v>
      </c>
    </row>
    <row r="34" spans="2:23" x14ac:dyDescent="0.45">
      <c r="B34" s="15">
        <v>3</v>
      </c>
      <c r="C34" s="16" t="s">
        <v>34</v>
      </c>
      <c r="D34" s="42">
        <f>MEDIAN(D14:D16)</f>
        <v>15.7</v>
      </c>
      <c r="E34" s="34">
        <f t="shared" ref="E34:W34" si="2">MEDIAN(E14:E16)</f>
        <v>5.6</v>
      </c>
      <c r="F34" s="34">
        <f t="shared" si="2"/>
        <v>7.9</v>
      </c>
      <c r="G34" s="34">
        <f t="shared" si="2"/>
        <v>11.2</v>
      </c>
      <c r="H34" s="34">
        <f t="shared" si="2"/>
        <v>13.6</v>
      </c>
      <c r="I34" s="34">
        <f t="shared" si="2"/>
        <v>14.6</v>
      </c>
      <c r="J34" s="34">
        <f t="shared" si="2"/>
        <v>17.399999999999999</v>
      </c>
      <c r="K34" s="34">
        <f t="shared" si="2"/>
        <v>19.600000000000001</v>
      </c>
      <c r="L34" s="34">
        <f t="shared" si="2"/>
        <v>21.2</v>
      </c>
      <c r="M34" s="34">
        <f t="shared" si="2"/>
        <v>27</v>
      </c>
      <c r="N34" s="34">
        <f t="shared" si="2"/>
        <v>17.899999999999999</v>
      </c>
      <c r="O34" s="34">
        <f t="shared" si="2"/>
        <v>6.1</v>
      </c>
      <c r="P34" s="34">
        <f t="shared" si="2"/>
        <v>8.3000000000000007</v>
      </c>
      <c r="Q34" s="34">
        <f t="shared" si="2"/>
        <v>11.7</v>
      </c>
      <c r="R34" s="34">
        <f t="shared" si="2"/>
        <v>14.4</v>
      </c>
      <c r="S34" s="34">
        <f t="shared" si="2"/>
        <v>15.7</v>
      </c>
      <c r="T34" s="34">
        <f t="shared" si="2"/>
        <v>17.8</v>
      </c>
      <c r="U34" s="34">
        <f t="shared" si="2"/>
        <v>20.399999999999999</v>
      </c>
      <c r="V34" s="34">
        <f t="shared" si="2"/>
        <v>21.9</v>
      </c>
      <c r="W34" s="34">
        <f t="shared" si="2"/>
        <v>27.7</v>
      </c>
    </row>
    <row r="35" spans="2:23" x14ac:dyDescent="0.45">
      <c r="B35" s="15">
        <v>4</v>
      </c>
      <c r="C35" s="16" t="s">
        <v>35</v>
      </c>
      <c r="D35" s="33">
        <f>MEDIAN(D17:D19)</f>
        <v>22.1</v>
      </c>
      <c r="E35" s="34">
        <f t="shared" ref="E35:W35" si="3">MEDIAN(E17:E19)</f>
        <v>8.6</v>
      </c>
      <c r="F35" s="34">
        <f t="shared" si="3"/>
        <v>12.3</v>
      </c>
      <c r="G35" s="34">
        <f t="shared" si="3"/>
        <v>16.5</v>
      </c>
      <c r="H35" s="34">
        <f t="shared" si="3"/>
        <v>19</v>
      </c>
      <c r="I35" s="34">
        <f t="shared" si="3"/>
        <v>21.3</v>
      </c>
      <c r="J35" s="34">
        <f t="shared" si="3"/>
        <v>23.9</v>
      </c>
      <c r="K35" s="34">
        <f t="shared" si="3"/>
        <v>26.2</v>
      </c>
      <c r="L35" s="34">
        <f t="shared" si="3"/>
        <v>28</v>
      </c>
      <c r="M35" s="34">
        <f t="shared" si="3"/>
        <v>34.5</v>
      </c>
      <c r="N35" s="34">
        <f t="shared" si="3"/>
        <v>25.2</v>
      </c>
      <c r="O35" s="34">
        <f t="shared" si="3"/>
        <v>9.9</v>
      </c>
      <c r="P35" s="34">
        <f t="shared" si="3"/>
        <v>13.7</v>
      </c>
      <c r="Q35" s="34">
        <f t="shared" si="3"/>
        <v>17.7</v>
      </c>
      <c r="R35" s="34">
        <f t="shared" si="3"/>
        <v>20.5</v>
      </c>
      <c r="S35" s="34">
        <f t="shared" si="3"/>
        <v>23.3</v>
      </c>
      <c r="T35" s="34">
        <f t="shared" si="3"/>
        <v>24.9</v>
      </c>
      <c r="U35" s="34">
        <f t="shared" si="3"/>
        <v>27.1</v>
      </c>
      <c r="V35" s="34">
        <f t="shared" si="3"/>
        <v>28.7</v>
      </c>
      <c r="W35" s="34">
        <f t="shared" si="3"/>
        <v>35.1</v>
      </c>
    </row>
    <row r="36" spans="2:23" x14ac:dyDescent="0.45">
      <c r="B36" s="15">
        <v>5</v>
      </c>
      <c r="C36" s="16" t="s">
        <v>36</v>
      </c>
      <c r="D36" s="33">
        <f>MEDIAN(D20:D22)</f>
        <v>34.9</v>
      </c>
      <c r="E36" s="34">
        <f t="shared" ref="E36:W36" si="4">MEDIAN(E20:E22)</f>
        <v>16.600000000000001</v>
      </c>
      <c r="F36" s="34">
        <f t="shared" si="4"/>
        <v>22.1</v>
      </c>
      <c r="G36" s="34">
        <f t="shared" si="4"/>
        <v>28.1</v>
      </c>
      <c r="H36" s="34">
        <f t="shared" si="4"/>
        <v>32.299999999999997</v>
      </c>
      <c r="I36" s="34">
        <f t="shared" si="4"/>
        <v>34.5</v>
      </c>
      <c r="J36" s="34">
        <f t="shared" si="4"/>
        <v>36.1</v>
      </c>
      <c r="K36" s="34">
        <f t="shared" si="4"/>
        <v>39.6</v>
      </c>
      <c r="L36" s="34">
        <f t="shared" si="4"/>
        <v>41.5</v>
      </c>
      <c r="M36" s="34">
        <f t="shared" si="4"/>
        <v>47.9</v>
      </c>
      <c r="N36" s="34">
        <f t="shared" si="4"/>
        <v>39.200000000000003</v>
      </c>
      <c r="O36" s="34">
        <f t="shared" si="4"/>
        <v>19.399999999999999</v>
      </c>
      <c r="P36" s="34">
        <f t="shared" si="4"/>
        <v>24.4</v>
      </c>
      <c r="Q36" s="34">
        <f t="shared" si="4"/>
        <v>30.3</v>
      </c>
      <c r="R36" s="34">
        <f t="shared" si="4"/>
        <v>33.700000000000003</v>
      </c>
      <c r="S36" s="34">
        <f t="shared" si="4"/>
        <v>36.200000000000003</v>
      </c>
      <c r="T36" s="34">
        <f t="shared" si="4"/>
        <v>39.299999999999997</v>
      </c>
      <c r="U36" s="34">
        <f t="shared" si="4"/>
        <v>40.700000000000003</v>
      </c>
      <c r="V36" s="34">
        <f t="shared" si="4"/>
        <v>43.1</v>
      </c>
      <c r="W36" s="34">
        <f t="shared" si="4"/>
        <v>49.6</v>
      </c>
    </row>
    <row r="37" spans="2:23" x14ac:dyDescent="0.45">
      <c r="B37" s="17">
        <v>6</v>
      </c>
      <c r="C37" s="18" t="s">
        <v>37</v>
      </c>
      <c r="D37" s="37">
        <f>MEDIAN(D23:D25)</f>
        <v>50.7</v>
      </c>
      <c r="E37" s="38">
        <f t="shared" ref="E37:W37" si="5">MEDIAN(E23:E25)</f>
        <v>30.1</v>
      </c>
      <c r="F37" s="38">
        <f t="shared" si="5"/>
        <v>35.9</v>
      </c>
      <c r="G37" s="38">
        <f t="shared" si="5"/>
        <v>43.9</v>
      </c>
      <c r="H37" s="38">
        <f t="shared" si="5"/>
        <v>46.3</v>
      </c>
      <c r="I37" s="38">
        <f t="shared" si="5"/>
        <v>50.7</v>
      </c>
      <c r="J37" s="38">
        <f t="shared" si="5"/>
        <v>52.3</v>
      </c>
      <c r="K37" s="38">
        <f t="shared" si="5"/>
        <v>55.5</v>
      </c>
      <c r="L37" s="38">
        <f t="shared" si="5"/>
        <v>56.7</v>
      </c>
      <c r="M37" s="38">
        <f t="shared" si="5"/>
        <v>64.099999999999994</v>
      </c>
      <c r="N37" s="38">
        <f t="shared" si="5"/>
        <v>56.4</v>
      </c>
      <c r="O37" s="38">
        <f t="shared" si="5"/>
        <v>33.1</v>
      </c>
      <c r="P37" s="38">
        <f t="shared" si="5"/>
        <v>39.799999999999997</v>
      </c>
      <c r="Q37" s="38">
        <f t="shared" si="5"/>
        <v>47.2</v>
      </c>
      <c r="R37" s="38">
        <f t="shared" si="5"/>
        <v>50.8</v>
      </c>
      <c r="S37" s="38">
        <f t="shared" si="5"/>
        <v>54.1</v>
      </c>
      <c r="T37" s="38">
        <f t="shared" si="5"/>
        <v>55.7</v>
      </c>
      <c r="U37" s="38">
        <f>AVERAGE(U23:U25)</f>
        <v>59.35</v>
      </c>
      <c r="V37" s="38">
        <f t="shared" ref="V37:W37" si="6">AVERAGE(V23:V25)</f>
        <v>60.900000000000006</v>
      </c>
      <c r="W37" s="38">
        <f t="shared" si="6"/>
        <v>67.150000000000006</v>
      </c>
    </row>
    <row r="38" spans="2:23" x14ac:dyDescent="0.45">
      <c r="B38" s="4"/>
      <c r="C38" s="4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</row>
    <row r="39" spans="2:23" x14ac:dyDescent="0.45">
      <c r="B39" s="4"/>
      <c r="C39" s="4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</row>
    <row r="40" spans="2:23" ht="22.8" x14ac:dyDescent="0.45">
      <c r="B40" s="7" t="s">
        <v>39</v>
      </c>
      <c r="C40" s="4"/>
      <c r="D40" s="8" t="s">
        <v>1</v>
      </c>
      <c r="F40" s="8"/>
      <c r="G40" s="8"/>
      <c r="N40" s="8" t="s">
        <v>2</v>
      </c>
    </row>
    <row r="41" spans="2:23" ht="22.8" x14ac:dyDescent="0.45">
      <c r="B41" s="9"/>
      <c r="C41" s="10" t="s">
        <v>3</v>
      </c>
      <c r="D41" s="21" t="s">
        <v>4</v>
      </c>
      <c r="E41" s="22" t="s">
        <v>6</v>
      </c>
      <c r="F41" s="23"/>
      <c r="G41" s="23"/>
      <c r="H41" s="23"/>
      <c r="I41" s="23"/>
      <c r="J41" s="23"/>
      <c r="K41" s="23"/>
      <c r="L41" s="23"/>
      <c r="M41" s="23"/>
      <c r="N41" s="21" t="s">
        <v>5</v>
      </c>
      <c r="O41" s="22" t="s">
        <v>6</v>
      </c>
      <c r="P41" s="23"/>
      <c r="Q41" s="23"/>
      <c r="R41" s="23"/>
      <c r="S41" s="23"/>
      <c r="T41" s="23"/>
      <c r="U41" s="23"/>
      <c r="V41" s="23"/>
      <c r="W41" s="24"/>
    </row>
    <row r="42" spans="2:23" ht="22.8" x14ac:dyDescent="0.45">
      <c r="B42" s="9"/>
      <c r="C42" s="11" t="s">
        <v>7</v>
      </c>
      <c r="D42" s="25">
        <v>8.0000000000000002E-3</v>
      </c>
      <c r="E42" s="26">
        <v>0.65</v>
      </c>
      <c r="F42" s="27">
        <v>0.7</v>
      </c>
      <c r="G42" s="27">
        <v>0.75</v>
      </c>
      <c r="H42" s="27">
        <v>0.78</v>
      </c>
      <c r="I42" s="27">
        <v>0.8</v>
      </c>
      <c r="J42" s="27">
        <v>0.82</v>
      </c>
      <c r="K42" s="27">
        <v>0.84</v>
      </c>
      <c r="L42" s="27">
        <v>0.86</v>
      </c>
      <c r="M42" s="27">
        <v>0.9</v>
      </c>
      <c r="N42" s="25">
        <v>8.2000000000000007E-3</v>
      </c>
      <c r="O42" s="26">
        <v>0.65</v>
      </c>
      <c r="P42" s="27">
        <v>0.7</v>
      </c>
      <c r="Q42" s="27">
        <v>0.75</v>
      </c>
      <c r="R42" s="27">
        <v>0.78</v>
      </c>
      <c r="S42" s="27">
        <v>0.8</v>
      </c>
      <c r="T42" s="27">
        <v>0.82</v>
      </c>
      <c r="U42" s="27">
        <v>0.84</v>
      </c>
      <c r="V42" s="27">
        <v>0.86</v>
      </c>
      <c r="W42" s="27">
        <v>0.9</v>
      </c>
    </row>
    <row r="43" spans="2:23" ht="22.8" x14ac:dyDescent="0.45">
      <c r="B43" s="9"/>
      <c r="C43" s="12" t="s">
        <v>8</v>
      </c>
      <c r="D43" s="28" t="s">
        <v>4</v>
      </c>
      <c r="E43" s="29"/>
      <c r="F43" s="29"/>
      <c r="G43" s="29"/>
      <c r="H43" s="29"/>
      <c r="I43" s="29"/>
      <c r="J43" s="29"/>
      <c r="K43" s="29"/>
      <c r="L43" s="29"/>
      <c r="M43" s="30"/>
      <c r="N43" s="28" t="s">
        <v>9</v>
      </c>
      <c r="O43" s="29"/>
      <c r="P43" s="29"/>
      <c r="Q43" s="29"/>
      <c r="R43" s="29"/>
      <c r="S43" s="29"/>
      <c r="T43" s="29"/>
      <c r="U43" s="29"/>
      <c r="V43" s="29"/>
      <c r="W43" s="30"/>
    </row>
    <row r="44" spans="2:23" ht="15.6" thickBot="1" x14ac:dyDescent="0.5">
      <c r="B44" s="14" t="s">
        <v>10</v>
      </c>
      <c r="C44" s="14" t="s">
        <v>11</v>
      </c>
      <c r="D44" s="31" t="s">
        <v>12</v>
      </c>
      <c r="E44" s="31" t="s">
        <v>14</v>
      </c>
      <c r="F44" s="32" t="s">
        <v>15</v>
      </c>
      <c r="G44" s="31" t="s">
        <v>16</v>
      </c>
      <c r="H44" s="32" t="s">
        <v>17</v>
      </c>
      <c r="I44" s="32" t="s">
        <v>18</v>
      </c>
      <c r="J44" s="32" t="s">
        <v>19</v>
      </c>
      <c r="K44" s="32" t="s">
        <v>20</v>
      </c>
      <c r="L44" s="32" t="s">
        <v>21</v>
      </c>
      <c r="M44" s="32" t="s">
        <v>22</v>
      </c>
      <c r="N44" s="32" t="s">
        <v>13</v>
      </c>
      <c r="O44" s="32" t="s">
        <v>23</v>
      </c>
      <c r="P44" s="32" t="s">
        <v>24</v>
      </c>
      <c r="Q44" s="32" t="s">
        <v>25</v>
      </c>
      <c r="R44" s="32" t="s">
        <v>26</v>
      </c>
      <c r="S44" s="32" t="s">
        <v>27</v>
      </c>
      <c r="T44" s="32" t="s">
        <v>28</v>
      </c>
      <c r="U44" s="32" t="s">
        <v>29</v>
      </c>
      <c r="V44" s="32" t="s">
        <v>30</v>
      </c>
      <c r="W44" s="32" t="s">
        <v>31</v>
      </c>
    </row>
    <row r="45" spans="2:23" ht="15.6" thickTop="1" x14ac:dyDescent="0.45">
      <c r="B45" s="16">
        <v>1</v>
      </c>
      <c r="C45" s="16" t="s">
        <v>40</v>
      </c>
      <c r="D45" s="33">
        <v>3.3</v>
      </c>
      <c r="E45" s="34">
        <v>1.4</v>
      </c>
      <c r="F45" s="34">
        <v>1.8</v>
      </c>
      <c r="G45" s="34">
        <v>2.2999999999999998</v>
      </c>
      <c r="H45" s="34">
        <v>2.7</v>
      </c>
      <c r="I45" s="34">
        <v>3</v>
      </c>
      <c r="J45" s="34">
        <v>2.9</v>
      </c>
      <c r="K45" s="34">
        <v>2.5</v>
      </c>
      <c r="L45" s="34">
        <v>3</v>
      </c>
      <c r="M45" s="34">
        <v>2.9</v>
      </c>
      <c r="N45" s="34">
        <v>2.8</v>
      </c>
      <c r="O45" s="34">
        <v>2.4</v>
      </c>
      <c r="P45" s="34">
        <v>2.8</v>
      </c>
      <c r="Q45" s="34">
        <v>2.6</v>
      </c>
      <c r="R45" s="34">
        <v>3.1</v>
      </c>
      <c r="S45" s="34">
        <v>3.3</v>
      </c>
      <c r="T45" s="34">
        <v>3.2</v>
      </c>
      <c r="U45" s="34">
        <v>2.8</v>
      </c>
      <c r="V45" s="34">
        <v>3.3</v>
      </c>
      <c r="W45" s="34">
        <v>3.4</v>
      </c>
    </row>
    <row r="46" spans="2:23" x14ac:dyDescent="0.45">
      <c r="B46" s="16">
        <v>2</v>
      </c>
      <c r="C46" s="16" t="s">
        <v>40</v>
      </c>
      <c r="D46" s="33">
        <v>3.1</v>
      </c>
      <c r="E46" s="34">
        <v>1.3</v>
      </c>
      <c r="F46" s="34">
        <v>2.5</v>
      </c>
      <c r="G46" s="34">
        <v>2.5</v>
      </c>
      <c r="H46" s="34">
        <v>2.8</v>
      </c>
      <c r="I46" s="34">
        <v>2.7</v>
      </c>
      <c r="J46" s="34">
        <v>2.9</v>
      </c>
      <c r="K46" s="34">
        <v>2.8</v>
      </c>
      <c r="L46" s="34">
        <v>2.9</v>
      </c>
      <c r="M46" s="34">
        <v>2.6</v>
      </c>
      <c r="N46" s="34">
        <v>2.8</v>
      </c>
      <c r="O46" s="34">
        <v>2.6</v>
      </c>
      <c r="P46" s="34">
        <v>2.2999999999999998</v>
      </c>
      <c r="Q46" s="34">
        <v>2.2999999999999998</v>
      </c>
      <c r="R46" s="34">
        <v>3.1</v>
      </c>
      <c r="S46" s="34">
        <v>2.9</v>
      </c>
      <c r="T46" s="34">
        <v>3.2</v>
      </c>
      <c r="U46" s="34">
        <v>3.3</v>
      </c>
      <c r="V46" s="34">
        <v>3.6</v>
      </c>
      <c r="W46" s="34">
        <v>3.2</v>
      </c>
    </row>
    <row r="47" spans="2:23" x14ac:dyDescent="0.45">
      <c r="B47" s="20">
        <v>3</v>
      </c>
      <c r="C47" s="20" t="s">
        <v>40</v>
      </c>
      <c r="D47" s="35">
        <v>2.9</v>
      </c>
      <c r="E47" s="36">
        <v>1.5</v>
      </c>
      <c r="F47" s="36">
        <v>2.5</v>
      </c>
      <c r="G47" s="36">
        <v>2.5</v>
      </c>
      <c r="H47" s="36">
        <v>2.7</v>
      </c>
      <c r="I47" s="36">
        <v>2.8</v>
      </c>
      <c r="J47" s="36">
        <v>2.8</v>
      </c>
      <c r="K47" s="36">
        <v>2.7</v>
      </c>
      <c r="L47" s="36">
        <v>3</v>
      </c>
      <c r="M47" s="36">
        <v>3.2</v>
      </c>
      <c r="N47" s="36">
        <v>2.9</v>
      </c>
      <c r="O47" s="36">
        <v>2.2999999999999998</v>
      </c>
      <c r="P47" s="36">
        <v>2.7</v>
      </c>
      <c r="Q47" s="36">
        <v>3</v>
      </c>
      <c r="R47" s="36">
        <v>3.1</v>
      </c>
      <c r="S47" s="36">
        <v>2.9</v>
      </c>
      <c r="T47" s="36">
        <v>2.9</v>
      </c>
      <c r="U47" s="36">
        <v>2.9</v>
      </c>
      <c r="V47" s="36">
        <v>3.2</v>
      </c>
      <c r="W47" s="36">
        <v>3.1</v>
      </c>
    </row>
    <row r="48" spans="2:23" x14ac:dyDescent="0.45">
      <c r="B48" s="16">
        <v>4</v>
      </c>
      <c r="C48" s="16" t="s">
        <v>41</v>
      </c>
      <c r="D48" s="33">
        <v>18.600000000000001</v>
      </c>
      <c r="E48" s="34">
        <v>13.3</v>
      </c>
      <c r="F48" s="34">
        <v>16.5</v>
      </c>
      <c r="G48" s="34">
        <v>17</v>
      </c>
      <c r="H48" s="34">
        <v>19.2</v>
      </c>
      <c r="I48" s="34">
        <v>20.3</v>
      </c>
      <c r="J48" s="34">
        <v>19.7</v>
      </c>
      <c r="K48" s="34">
        <v>17.7</v>
      </c>
      <c r="L48" s="34">
        <v>21.6</v>
      </c>
      <c r="M48" s="34">
        <v>22.8</v>
      </c>
      <c r="N48" s="34">
        <v>18.3</v>
      </c>
      <c r="O48" s="34">
        <v>13.4</v>
      </c>
      <c r="P48" s="34">
        <v>18</v>
      </c>
      <c r="Q48" s="34">
        <v>18.899999999999999</v>
      </c>
      <c r="R48" s="34">
        <v>21</v>
      </c>
      <c r="S48" s="34">
        <v>20.8</v>
      </c>
      <c r="T48" s="34">
        <v>20.3</v>
      </c>
      <c r="U48" s="34">
        <v>18.7</v>
      </c>
      <c r="V48" s="34">
        <v>21.7</v>
      </c>
      <c r="W48" s="34">
        <v>22.7</v>
      </c>
    </row>
    <row r="49" spans="2:24" x14ac:dyDescent="0.45">
      <c r="B49" s="16">
        <v>5</v>
      </c>
      <c r="C49" s="16" t="s">
        <v>41</v>
      </c>
      <c r="D49" s="33">
        <v>18.5</v>
      </c>
      <c r="E49" s="34">
        <v>13.6</v>
      </c>
      <c r="F49" s="34">
        <v>16.5</v>
      </c>
      <c r="G49" s="34">
        <v>16.2</v>
      </c>
      <c r="H49" s="34">
        <v>17.899999999999999</v>
      </c>
      <c r="I49" s="34">
        <v>20.6</v>
      </c>
      <c r="J49" s="34">
        <v>19.399999999999999</v>
      </c>
      <c r="K49" s="34">
        <v>19.899999999999999</v>
      </c>
      <c r="L49" s="34">
        <v>21.9</v>
      </c>
      <c r="M49" s="34">
        <v>19.600000000000001</v>
      </c>
      <c r="N49" s="34">
        <v>20.3</v>
      </c>
      <c r="O49" s="34">
        <v>16.2</v>
      </c>
      <c r="P49" s="34">
        <v>18</v>
      </c>
      <c r="Q49" s="34">
        <v>17.899999999999999</v>
      </c>
      <c r="R49" s="34">
        <v>19.2</v>
      </c>
      <c r="S49" s="34">
        <v>20.2</v>
      </c>
      <c r="T49" s="34">
        <v>20.8</v>
      </c>
      <c r="U49" s="34">
        <v>21.3</v>
      </c>
      <c r="V49" s="34">
        <v>22.1</v>
      </c>
      <c r="W49" s="34">
        <v>21.3</v>
      </c>
    </row>
    <row r="50" spans="2:24" x14ac:dyDescent="0.45">
      <c r="B50" s="20">
        <v>6</v>
      </c>
      <c r="C50" s="20" t="s">
        <v>41</v>
      </c>
      <c r="D50" s="35">
        <v>18.600000000000001</v>
      </c>
      <c r="E50" s="36">
        <v>14.1</v>
      </c>
      <c r="F50" s="36">
        <v>17</v>
      </c>
      <c r="G50" s="36">
        <v>17.899999999999999</v>
      </c>
      <c r="H50" s="36">
        <v>18.399999999999999</v>
      </c>
      <c r="I50" s="36">
        <v>18.8</v>
      </c>
      <c r="J50" s="36">
        <v>18.399999999999999</v>
      </c>
      <c r="K50" s="36">
        <v>19.100000000000001</v>
      </c>
      <c r="L50" s="36">
        <v>21.7</v>
      </c>
      <c r="M50" s="36">
        <v>21.6</v>
      </c>
      <c r="N50" s="36">
        <v>19</v>
      </c>
      <c r="O50" s="36">
        <v>14.9</v>
      </c>
      <c r="P50" s="36">
        <v>18.2</v>
      </c>
      <c r="Q50" s="36">
        <v>20.100000000000001</v>
      </c>
      <c r="R50" s="36">
        <v>19.399999999999999</v>
      </c>
      <c r="S50" s="36">
        <v>18.899999999999999</v>
      </c>
      <c r="T50" s="36">
        <v>20.100000000000001</v>
      </c>
      <c r="U50" s="36">
        <v>20.399999999999999</v>
      </c>
      <c r="V50" s="36">
        <v>22.1</v>
      </c>
      <c r="W50" s="36">
        <v>21.3</v>
      </c>
    </row>
    <row r="51" spans="2:24" x14ac:dyDescent="0.45">
      <c r="B51" s="16">
        <v>7</v>
      </c>
      <c r="C51" s="16" t="s">
        <v>42</v>
      </c>
      <c r="D51" s="33">
        <v>47.2</v>
      </c>
      <c r="E51" s="34">
        <v>40.9</v>
      </c>
      <c r="F51" s="34">
        <v>45</v>
      </c>
      <c r="G51" s="34">
        <v>45.8</v>
      </c>
      <c r="H51" s="34">
        <v>46.7</v>
      </c>
      <c r="I51" s="34">
        <v>48.9</v>
      </c>
      <c r="J51" s="34">
        <v>49.1</v>
      </c>
      <c r="K51" s="34">
        <v>46.1</v>
      </c>
      <c r="L51" s="34">
        <v>51.4</v>
      </c>
      <c r="M51" s="34">
        <v>49.7</v>
      </c>
      <c r="N51" s="34">
        <v>47.4</v>
      </c>
      <c r="O51" s="34">
        <v>41.8</v>
      </c>
      <c r="P51" s="34">
        <v>44.6</v>
      </c>
      <c r="Q51" s="34">
        <v>47.1</v>
      </c>
      <c r="R51" s="34">
        <v>47.8</v>
      </c>
      <c r="S51" s="34">
        <v>49.1</v>
      </c>
      <c r="T51" s="34">
        <v>47</v>
      </c>
      <c r="U51" s="34">
        <v>48.8</v>
      </c>
      <c r="V51" s="34">
        <v>51.9</v>
      </c>
      <c r="W51" s="34">
        <v>50.5</v>
      </c>
    </row>
    <row r="52" spans="2:24" x14ac:dyDescent="0.45">
      <c r="B52" s="16">
        <v>8</v>
      </c>
      <c r="C52" s="16" t="s">
        <v>42</v>
      </c>
      <c r="D52" s="33">
        <v>47.2</v>
      </c>
      <c r="E52" s="34">
        <v>45.1</v>
      </c>
      <c r="F52" s="34">
        <v>46.4</v>
      </c>
      <c r="G52" s="34">
        <v>44.3</v>
      </c>
      <c r="H52" s="34">
        <v>47</v>
      </c>
      <c r="I52" s="34">
        <v>49.9</v>
      </c>
      <c r="J52" s="34">
        <v>48.5</v>
      </c>
      <c r="K52" s="34">
        <v>49.4</v>
      </c>
      <c r="L52" s="34">
        <v>50.3</v>
      </c>
      <c r="M52" s="34">
        <v>50</v>
      </c>
      <c r="N52" s="34">
        <v>47.2</v>
      </c>
      <c r="O52" s="34">
        <v>44.8</v>
      </c>
      <c r="P52" s="34">
        <v>45.6</v>
      </c>
      <c r="Q52" s="34">
        <v>43.9</v>
      </c>
      <c r="R52" s="34">
        <v>47.6</v>
      </c>
      <c r="S52" s="34">
        <v>48.6</v>
      </c>
      <c r="T52" s="34">
        <v>47.9</v>
      </c>
      <c r="U52" s="34">
        <v>50</v>
      </c>
      <c r="V52" s="34">
        <v>50.2</v>
      </c>
      <c r="W52" s="34">
        <v>50</v>
      </c>
    </row>
    <row r="53" spans="2:24" x14ac:dyDescent="0.45">
      <c r="B53" s="18">
        <v>9</v>
      </c>
      <c r="C53" s="18" t="s">
        <v>42</v>
      </c>
      <c r="D53" s="37">
        <v>47.6</v>
      </c>
      <c r="E53" s="38">
        <v>43.4</v>
      </c>
      <c r="F53" s="38">
        <v>47</v>
      </c>
      <c r="G53" s="38">
        <v>47</v>
      </c>
      <c r="H53" s="38">
        <v>46.5</v>
      </c>
      <c r="I53" s="38">
        <v>46.2</v>
      </c>
      <c r="J53" s="38">
        <v>50.7</v>
      </c>
      <c r="K53" s="38">
        <v>49.7</v>
      </c>
      <c r="L53" s="38">
        <v>53.7</v>
      </c>
      <c r="M53" s="38">
        <v>51.9</v>
      </c>
      <c r="N53" s="38">
        <v>46.8</v>
      </c>
      <c r="O53" s="38">
        <v>44.8</v>
      </c>
      <c r="P53" s="38">
        <v>46.8</v>
      </c>
      <c r="Q53" s="38">
        <v>48.7</v>
      </c>
      <c r="R53" s="38">
        <v>47.8</v>
      </c>
      <c r="S53" s="38">
        <v>47.2</v>
      </c>
      <c r="T53" s="38">
        <v>48</v>
      </c>
      <c r="U53" s="38">
        <v>50.9</v>
      </c>
      <c r="V53" s="38">
        <v>51.6</v>
      </c>
      <c r="W53" s="38">
        <v>51.9</v>
      </c>
      <c r="X53" s="5" t="s">
        <v>43</v>
      </c>
    </row>
    <row r="55" spans="2:24" ht="22.8" x14ac:dyDescent="0.45">
      <c r="B55" s="7" t="s">
        <v>44</v>
      </c>
      <c r="C55" s="4"/>
      <c r="D55" s="8" t="s">
        <v>1</v>
      </c>
      <c r="F55" s="8"/>
      <c r="G55" s="8"/>
      <c r="N55" s="8" t="s">
        <v>2</v>
      </c>
    </row>
    <row r="56" spans="2:24" ht="22.8" x14ac:dyDescent="0.45">
      <c r="B56" s="9"/>
      <c r="C56" s="10" t="s">
        <v>3</v>
      </c>
      <c r="D56" s="21" t="s">
        <v>4</v>
      </c>
      <c r="E56" s="22" t="s">
        <v>6</v>
      </c>
      <c r="F56" s="23"/>
      <c r="G56" s="23"/>
      <c r="H56" s="23"/>
      <c r="I56" s="23"/>
      <c r="J56" s="23"/>
      <c r="K56" s="23"/>
      <c r="L56" s="23"/>
      <c r="M56" s="23"/>
      <c r="N56" s="21" t="s">
        <v>5</v>
      </c>
      <c r="O56" s="22" t="s">
        <v>6</v>
      </c>
      <c r="P56" s="23"/>
      <c r="Q56" s="23"/>
      <c r="R56" s="23"/>
      <c r="S56" s="23"/>
      <c r="T56" s="23"/>
      <c r="U56" s="23"/>
      <c r="V56" s="23"/>
      <c r="W56" s="24"/>
    </row>
    <row r="57" spans="2:24" ht="22.8" x14ac:dyDescent="0.45">
      <c r="B57" s="9"/>
      <c r="C57" s="11" t="s">
        <v>7</v>
      </c>
      <c r="D57" s="25">
        <v>8.0000000000000002E-3</v>
      </c>
      <c r="E57" s="26">
        <v>0.65</v>
      </c>
      <c r="F57" s="27">
        <v>0.7</v>
      </c>
      <c r="G57" s="27">
        <v>0.75</v>
      </c>
      <c r="H57" s="27">
        <v>0.78</v>
      </c>
      <c r="I57" s="27">
        <v>0.8</v>
      </c>
      <c r="J57" s="27">
        <v>0.82</v>
      </c>
      <c r="K57" s="27">
        <v>0.84</v>
      </c>
      <c r="L57" s="27">
        <v>0.86</v>
      </c>
      <c r="M57" s="27">
        <v>0.9</v>
      </c>
      <c r="N57" s="25">
        <v>8.2000000000000007E-3</v>
      </c>
      <c r="O57" s="26">
        <v>0.65</v>
      </c>
      <c r="P57" s="27">
        <v>0.7</v>
      </c>
      <c r="Q57" s="27">
        <v>0.75</v>
      </c>
      <c r="R57" s="27">
        <v>0.78</v>
      </c>
      <c r="S57" s="27">
        <v>0.8</v>
      </c>
      <c r="T57" s="27">
        <v>0.82</v>
      </c>
      <c r="U57" s="27">
        <v>0.84</v>
      </c>
      <c r="V57" s="27">
        <v>0.86</v>
      </c>
      <c r="W57" s="27">
        <v>0.9</v>
      </c>
    </row>
    <row r="58" spans="2:24" ht="22.8" x14ac:dyDescent="0.45">
      <c r="B58" s="9"/>
      <c r="C58" s="12" t="s">
        <v>8</v>
      </c>
      <c r="D58" s="28" t="s">
        <v>4</v>
      </c>
      <c r="E58" s="29"/>
      <c r="F58" s="29"/>
      <c r="G58" s="29"/>
      <c r="H58" s="29"/>
      <c r="I58" s="29"/>
      <c r="J58" s="29"/>
      <c r="K58" s="29"/>
      <c r="L58" s="29"/>
      <c r="M58" s="30"/>
      <c r="N58" s="28" t="s">
        <v>9</v>
      </c>
      <c r="O58" s="29"/>
      <c r="P58" s="29"/>
      <c r="Q58" s="29"/>
      <c r="R58" s="29"/>
      <c r="S58" s="29"/>
      <c r="T58" s="29"/>
      <c r="U58" s="29"/>
      <c r="V58" s="29"/>
      <c r="W58" s="30"/>
    </row>
    <row r="59" spans="2:24" ht="15.6" thickBot="1" x14ac:dyDescent="0.5">
      <c r="B59" s="14" t="s">
        <v>10</v>
      </c>
      <c r="C59" s="14" t="s">
        <v>11</v>
      </c>
      <c r="D59" s="31" t="s">
        <v>12</v>
      </c>
      <c r="E59" s="31" t="s">
        <v>14</v>
      </c>
      <c r="F59" s="32" t="s">
        <v>15</v>
      </c>
      <c r="G59" s="31" t="s">
        <v>16</v>
      </c>
      <c r="H59" s="32" t="s">
        <v>17</v>
      </c>
      <c r="I59" s="32" t="s">
        <v>18</v>
      </c>
      <c r="J59" s="32" t="s">
        <v>19</v>
      </c>
      <c r="K59" s="32" t="s">
        <v>20</v>
      </c>
      <c r="L59" s="32" t="s">
        <v>21</v>
      </c>
      <c r="M59" s="32" t="s">
        <v>22</v>
      </c>
      <c r="N59" s="32" t="s">
        <v>13</v>
      </c>
      <c r="O59" s="32" t="s">
        <v>23</v>
      </c>
      <c r="P59" s="32" t="s">
        <v>24</v>
      </c>
      <c r="Q59" s="32" t="s">
        <v>25</v>
      </c>
      <c r="R59" s="32" t="s">
        <v>26</v>
      </c>
      <c r="S59" s="32" t="s">
        <v>27</v>
      </c>
      <c r="T59" s="32" t="s">
        <v>28</v>
      </c>
      <c r="U59" s="32" t="s">
        <v>29</v>
      </c>
      <c r="V59" s="32" t="s">
        <v>30</v>
      </c>
      <c r="W59" s="32" t="s">
        <v>31</v>
      </c>
    </row>
    <row r="60" spans="2:24" ht="15.6" thickTop="1" x14ac:dyDescent="0.45">
      <c r="B60" s="16">
        <v>10</v>
      </c>
      <c r="C60" s="16" t="s">
        <v>45</v>
      </c>
      <c r="D60" s="33">
        <v>4.7</v>
      </c>
      <c r="E60" s="34">
        <v>6.1</v>
      </c>
      <c r="F60" s="34">
        <v>4.5999999999999996</v>
      </c>
      <c r="G60" s="34">
        <v>4.5999999999999996</v>
      </c>
      <c r="H60" s="34">
        <v>4.8</v>
      </c>
      <c r="I60" s="34">
        <v>5.4</v>
      </c>
      <c r="J60" s="34">
        <v>4.9000000000000004</v>
      </c>
      <c r="K60" s="34">
        <v>4.7</v>
      </c>
      <c r="L60" s="34">
        <v>5.8</v>
      </c>
      <c r="M60" s="34">
        <v>4.9000000000000004</v>
      </c>
      <c r="N60" s="34">
        <v>4.5999999999999996</v>
      </c>
      <c r="O60" s="34">
        <v>7.1</v>
      </c>
      <c r="P60" s="34">
        <v>6</v>
      </c>
      <c r="Q60" s="34">
        <v>4.9000000000000004</v>
      </c>
      <c r="R60" s="34">
        <v>6.1</v>
      </c>
      <c r="S60" s="34">
        <v>5.8</v>
      </c>
      <c r="T60" s="34">
        <v>5.5</v>
      </c>
      <c r="U60" s="34">
        <v>4.5999999999999996</v>
      </c>
      <c r="V60" s="34">
        <v>6</v>
      </c>
      <c r="W60" s="34">
        <v>5.0999999999999996</v>
      </c>
    </row>
    <row r="61" spans="2:24" x14ac:dyDescent="0.45">
      <c r="B61" s="16">
        <v>11</v>
      </c>
      <c r="C61" s="16" t="s">
        <v>45</v>
      </c>
      <c r="D61" s="33">
        <v>5.7</v>
      </c>
      <c r="E61" s="34">
        <v>6.1</v>
      </c>
      <c r="F61" s="34">
        <v>4.0999999999999996</v>
      </c>
      <c r="G61" s="34">
        <v>4.4000000000000004</v>
      </c>
      <c r="H61" s="34">
        <v>5.6</v>
      </c>
      <c r="I61" s="34">
        <v>6.2</v>
      </c>
      <c r="J61" s="34">
        <v>5.8</v>
      </c>
      <c r="K61" s="34">
        <v>4.5</v>
      </c>
      <c r="L61" s="34">
        <v>5.5</v>
      </c>
      <c r="M61" s="34">
        <v>4.5999999999999996</v>
      </c>
      <c r="N61" s="34">
        <v>4.7</v>
      </c>
      <c r="O61" s="34">
        <v>7.1</v>
      </c>
      <c r="P61" s="34">
        <v>4.7</v>
      </c>
      <c r="Q61" s="34">
        <v>5</v>
      </c>
      <c r="R61" s="34">
        <v>5.8</v>
      </c>
      <c r="S61" s="34">
        <v>5.7</v>
      </c>
      <c r="T61" s="34">
        <v>5.9</v>
      </c>
      <c r="U61" s="34">
        <v>4.7</v>
      </c>
      <c r="V61" s="34">
        <v>5.2</v>
      </c>
      <c r="W61" s="34">
        <v>4.5</v>
      </c>
    </row>
    <row r="62" spans="2:24" x14ac:dyDescent="0.45">
      <c r="B62" s="20">
        <v>12</v>
      </c>
      <c r="C62" s="20" t="s">
        <v>45</v>
      </c>
      <c r="D62" s="35">
        <v>5</v>
      </c>
      <c r="E62" s="36">
        <v>5.4</v>
      </c>
      <c r="F62" s="36">
        <v>5.4</v>
      </c>
      <c r="G62" s="36">
        <v>4.5999999999999996</v>
      </c>
      <c r="H62" s="36">
        <v>4.9000000000000004</v>
      </c>
      <c r="I62" s="36">
        <v>4.9000000000000004</v>
      </c>
      <c r="J62" s="36">
        <v>4.9000000000000004</v>
      </c>
      <c r="K62" s="36">
        <v>4.3</v>
      </c>
      <c r="L62" s="36">
        <v>6</v>
      </c>
      <c r="M62" s="36">
        <v>5.6</v>
      </c>
      <c r="N62" s="36">
        <v>4.4000000000000004</v>
      </c>
      <c r="O62" s="36">
        <v>5.9</v>
      </c>
      <c r="P62" s="36">
        <v>6</v>
      </c>
      <c r="Q62" s="36">
        <v>4.5999999999999996</v>
      </c>
      <c r="R62" s="36">
        <v>5.3</v>
      </c>
      <c r="S62" s="36">
        <v>4.8</v>
      </c>
      <c r="T62" s="36">
        <v>5</v>
      </c>
      <c r="U62" s="36">
        <v>4.7</v>
      </c>
      <c r="V62" s="36">
        <v>5.4</v>
      </c>
      <c r="W62" s="36">
        <v>5.5</v>
      </c>
    </row>
    <row r="63" spans="2:24" x14ac:dyDescent="0.45">
      <c r="B63" s="16">
        <v>13</v>
      </c>
      <c r="C63" s="16" t="s">
        <v>46</v>
      </c>
      <c r="D63" s="33">
        <v>29</v>
      </c>
      <c r="E63" s="34">
        <v>30.5</v>
      </c>
      <c r="F63" s="34">
        <v>29.7</v>
      </c>
      <c r="G63" s="34">
        <v>29.6</v>
      </c>
      <c r="H63" s="34">
        <v>31.9</v>
      </c>
      <c r="I63" s="34">
        <v>31.6</v>
      </c>
      <c r="J63" s="34">
        <v>29.3</v>
      </c>
      <c r="K63" s="34">
        <v>29</v>
      </c>
      <c r="L63" s="34">
        <v>33.6</v>
      </c>
      <c r="M63" s="34">
        <v>29.3</v>
      </c>
      <c r="N63" s="34">
        <v>29.4</v>
      </c>
      <c r="O63" s="34">
        <v>30.4</v>
      </c>
      <c r="P63" s="34">
        <v>30.8</v>
      </c>
      <c r="Q63" s="34">
        <v>29.4</v>
      </c>
      <c r="R63" s="34">
        <v>32.1</v>
      </c>
      <c r="S63" s="34">
        <v>30.9</v>
      </c>
      <c r="T63" s="34">
        <v>29.8</v>
      </c>
      <c r="U63" s="34">
        <v>30</v>
      </c>
      <c r="V63" s="34">
        <v>34.1</v>
      </c>
      <c r="W63" s="34">
        <v>30.9</v>
      </c>
    </row>
    <row r="64" spans="2:24" x14ac:dyDescent="0.45">
      <c r="B64" s="16">
        <v>14</v>
      </c>
      <c r="C64" s="16" t="s">
        <v>46</v>
      </c>
      <c r="D64" s="33">
        <v>31</v>
      </c>
      <c r="E64" s="34">
        <v>29.6</v>
      </c>
      <c r="F64" s="34">
        <v>27.9</v>
      </c>
      <c r="G64" s="34">
        <v>29.2</v>
      </c>
      <c r="H64" s="34">
        <v>30.1</v>
      </c>
      <c r="I64" s="34">
        <v>30.5</v>
      </c>
      <c r="J64" s="34">
        <v>31.3</v>
      </c>
      <c r="K64" s="34">
        <v>30.6</v>
      </c>
      <c r="L64" s="34">
        <v>29.9</v>
      </c>
      <c r="M64" s="34">
        <v>26.8</v>
      </c>
      <c r="N64" s="34">
        <v>31.3</v>
      </c>
      <c r="O64" s="34">
        <v>31.6</v>
      </c>
      <c r="P64" s="34">
        <v>28.2</v>
      </c>
      <c r="Q64" s="34">
        <v>28.9</v>
      </c>
      <c r="R64" s="34">
        <v>30.6</v>
      </c>
      <c r="S64" s="34">
        <v>27</v>
      </c>
      <c r="T64" s="34">
        <v>32.200000000000003</v>
      </c>
      <c r="U64" s="34">
        <v>33.4</v>
      </c>
      <c r="V64" s="34">
        <v>31</v>
      </c>
      <c r="W64" s="34">
        <v>29.6</v>
      </c>
    </row>
    <row r="65" spans="2:23" x14ac:dyDescent="0.45">
      <c r="B65" s="20">
        <v>15</v>
      </c>
      <c r="C65" s="20" t="s">
        <v>46</v>
      </c>
      <c r="D65" s="35">
        <v>31.2</v>
      </c>
      <c r="E65" s="36">
        <v>29.6</v>
      </c>
      <c r="F65" s="36">
        <v>29.9</v>
      </c>
      <c r="G65" s="36">
        <v>30.3</v>
      </c>
      <c r="H65" s="36">
        <v>30.5</v>
      </c>
      <c r="I65" s="36">
        <v>29.5</v>
      </c>
      <c r="J65" s="36">
        <v>32.1</v>
      </c>
      <c r="K65" s="36">
        <v>29.8</v>
      </c>
      <c r="L65" s="36">
        <v>32.700000000000003</v>
      </c>
      <c r="M65" s="36">
        <v>31.6</v>
      </c>
      <c r="N65" s="36">
        <v>27.4</v>
      </c>
      <c r="O65" s="36">
        <v>29.7</v>
      </c>
      <c r="P65" s="36">
        <v>30.1</v>
      </c>
      <c r="Q65" s="36">
        <v>30.5</v>
      </c>
      <c r="R65" s="36">
        <v>30.6</v>
      </c>
      <c r="S65" s="36">
        <v>27.6</v>
      </c>
      <c r="T65" s="36">
        <v>28.9</v>
      </c>
      <c r="U65" s="36">
        <v>30.2</v>
      </c>
      <c r="V65" s="36">
        <v>33.799999999999997</v>
      </c>
      <c r="W65" s="36">
        <v>30.9</v>
      </c>
    </row>
    <row r="68" spans="2:23" ht="22.8" x14ac:dyDescent="0.45">
      <c r="B68" s="7" t="s">
        <v>47</v>
      </c>
      <c r="C68" s="4"/>
      <c r="D68" s="8" t="s">
        <v>1</v>
      </c>
      <c r="F68" s="8"/>
      <c r="G68" s="8"/>
      <c r="N68" s="8" t="s">
        <v>2</v>
      </c>
    </row>
    <row r="69" spans="2:23" ht="22.8" x14ac:dyDescent="0.45">
      <c r="B69" s="9"/>
      <c r="C69" s="10" t="s">
        <v>3</v>
      </c>
      <c r="D69" s="21" t="s">
        <v>4</v>
      </c>
      <c r="E69" s="22" t="s">
        <v>6</v>
      </c>
      <c r="F69" s="23"/>
      <c r="G69" s="23"/>
      <c r="H69" s="23"/>
      <c r="I69" s="23"/>
      <c r="J69" s="23"/>
      <c r="K69" s="23"/>
      <c r="L69" s="23"/>
      <c r="M69" s="23"/>
      <c r="N69" s="21" t="s">
        <v>5</v>
      </c>
      <c r="O69" s="22" t="s">
        <v>6</v>
      </c>
      <c r="P69" s="23"/>
      <c r="Q69" s="23"/>
      <c r="R69" s="23"/>
      <c r="S69" s="23"/>
      <c r="T69" s="23"/>
      <c r="U69" s="23"/>
      <c r="V69" s="23"/>
      <c r="W69" s="24"/>
    </row>
    <row r="70" spans="2:23" ht="22.8" x14ac:dyDescent="0.45">
      <c r="B70" s="9"/>
      <c r="C70" s="11" t="s">
        <v>7</v>
      </c>
      <c r="D70" s="25">
        <v>8.0000000000000002E-3</v>
      </c>
      <c r="E70" s="26">
        <v>0.65</v>
      </c>
      <c r="F70" s="27">
        <v>0.7</v>
      </c>
      <c r="G70" s="27">
        <v>0.75</v>
      </c>
      <c r="H70" s="27">
        <v>0.78</v>
      </c>
      <c r="I70" s="27">
        <v>0.8</v>
      </c>
      <c r="J70" s="27">
        <v>0.82</v>
      </c>
      <c r="K70" s="27">
        <v>0.84</v>
      </c>
      <c r="L70" s="27">
        <v>0.86</v>
      </c>
      <c r="M70" s="27">
        <v>0.9</v>
      </c>
      <c r="N70" s="25">
        <v>8.2000000000000007E-3</v>
      </c>
      <c r="O70" s="26">
        <v>0.65</v>
      </c>
      <c r="P70" s="27">
        <v>0.7</v>
      </c>
      <c r="Q70" s="27">
        <v>0.75</v>
      </c>
      <c r="R70" s="27">
        <v>0.78</v>
      </c>
      <c r="S70" s="27">
        <v>0.8</v>
      </c>
      <c r="T70" s="27">
        <v>0.82</v>
      </c>
      <c r="U70" s="27">
        <v>0.84</v>
      </c>
      <c r="V70" s="27">
        <v>0.86</v>
      </c>
      <c r="W70" s="27">
        <v>0.9</v>
      </c>
    </row>
    <row r="71" spans="2:23" ht="22.8" x14ac:dyDescent="0.45">
      <c r="B71" s="9"/>
      <c r="C71" s="12" t="s">
        <v>8</v>
      </c>
      <c r="D71" s="28" t="s">
        <v>4</v>
      </c>
      <c r="E71" s="29"/>
      <c r="F71" s="29"/>
      <c r="G71" s="29"/>
      <c r="H71" s="29"/>
      <c r="I71" s="29"/>
      <c r="J71" s="29"/>
      <c r="K71" s="29"/>
      <c r="L71" s="29"/>
      <c r="M71" s="30"/>
      <c r="N71" s="28" t="s">
        <v>9</v>
      </c>
      <c r="O71" s="29"/>
      <c r="P71" s="29"/>
      <c r="Q71" s="29"/>
      <c r="R71" s="29"/>
      <c r="S71" s="29"/>
      <c r="T71" s="29"/>
      <c r="U71" s="29"/>
      <c r="V71" s="29"/>
      <c r="W71" s="30"/>
    </row>
    <row r="72" spans="2:23" ht="15.6" thickBot="1" x14ac:dyDescent="0.5">
      <c r="B72" s="14" t="s">
        <v>10</v>
      </c>
      <c r="C72" s="14" t="s">
        <v>11</v>
      </c>
      <c r="D72" s="32" t="s">
        <v>12</v>
      </c>
      <c r="E72" s="31" t="s">
        <v>14</v>
      </c>
      <c r="F72" s="32" t="s">
        <v>15</v>
      </c>
      <c r="G72" s="31" t="s">
        <v>16</v>
      </c>
      <c r="H72" s="32" t="s">
        <v>17</v>
      </c>
      <c r="I72" s="32" t="s">
        <v>18</v>
      </c>
      <c r="J72" s="32" t="s">
        <v>19</v>
      </c>
      <c r="K72" s="32" t="s">
        <v>20</v>
      </c>
      <c r="L72" s="32" t="s">
        <v>21</v>
      </c>
      <c r="M72" s="32" t="s">
        <v>22</v>
      </c>
      <c r="N72" s="32" t="s">
        <v>13</v>
      </c>
      <c r="O72" s="32" t="s">
        <v>23</v>
      </c>
      <c r="P72" s="32" t="s">
        <v>24</v>
      </c>
      <c r="Q72" s="32" t="s">
        <v>25</v>
      </c>
      <c r="R72" s="32" t="s">
        <v>26</v>
      </c>
      <c r="S72" s="32" t="s">
        <v>27</v>
      </c>
      <c r="T72" s="32" t="s">
        <v>28</v>
      </c>
      <c r="U72" s="32" t="s">
        <v>29</v>
      </c>
      <c r="V72" s="32" t="s">
        <v>30</v>
      </c>
      <c r="W72" s="32" t="s">
        <v>31</v>
      </c>
    </row>
    <row r="73" spans="2:23" ht="15.6" thickTop="1" x14ac:dyDescent="0.45">
      <c r="B73" s="16">
        <v>16</v>
      </c>
      <c r="C73" s="16" t="s">
        <v>48</v>
      </c>
      <c r="D73" s="34">
        <v>2.5</v>
      </c>
      <c r="E73" s="39">
        <v>2.7</v>
      </c>
      <c r="F73" s="34">
        <v>3.2</v>
      </c>
      <c r="G73" s="34">
        <v>2.5</v>
      </c>
      <c r="H73" s="34">
        <v>2.2999999999999998</v>
      </c>
      <c r="I73" s="34">
        <v>2.1</v>
      </c>
      <c r="J73" s="34">
        <v>2</v>
      </c>
      <c r="K73" s="34">
        <v>1.6</v>
      </c>
      <c r="L73" s="34">
        <v>1.6</v>
      </c>
      <c r="M73" s="34">
        <v>1</v>
      </c>
      <c r="N73" s="34">
        <v>2.4</v>
      </c>
      <c r="O73" s="39">
        <v>3.4</v>
      </c>
      <c r="P73" s="34">
        <v>2.2999999999999998</v>
      </c>
      <c r="Q73" s="34">
        <v>2.2000000000000002</v>
      </c>
      <c r="R73" s="34">
        <v>2.5</v>
      </c>
      <c r="S73" s="34">
        <v>2.4</v>
      </c>
      <c r="T73" s="34">
        <v>2.2000000000000002</v>
      </c>
      <c r="U73" s="34">
        <v>1.7</v>
      </c>
      <c r="V73" s="34">
        <v>1.9</v>
      </c>
      <c r="W73" s="34">
        <v>1</v>
      </c>
    </row>
    <row r="74" spans="2:23" x14ac:dyDescent="0.45">
      <c r="B74" s="16">
        <v>17</v>
      </c>
      <c r="C74" s="16" t="s">
        <v>49</v>
      </c>
      <c r="D74" s="34">
        <v>5.5</v>
      </c>
      <c r="E74" s="39">
        <v>11.7</v>
      </c>
      <c r="F74" s="34">
        <v>9.1999999999999993</v>
      </c>
      <c r="G74" s="34">
        <v>6.1</v>
      </c>
      <c r="H74" s="34">
        <v>6.2</v>
      </c>
      <c r="I74" s="34">
        <v>5.6</v>
      </c>
      <c r="J74" s="34">
        <v>5.7</v>
      </c>
      <c r="K74" s="34">
        <v>4.3</v>
      </c>
      <c r="L74" s="34">
        <v>4.8</v>
      </c>
      <c r="M74" s="34">
        <v>3</v>
      </c>
      <c r="N74" s="34">
        <v>4.3</v>
      </c>
      <c r="O74" s="39">
        <v>10</v>
      </c>
      <c r="P74" s="34">
        <v>9.5</v>
      </c>
      <c r="Q74" s="34">
        <v>7.4</v>
      </c>
      <c r="R74" s="34">
        <v>5.9</v>
      </c>
      <c r="S74" s="34">
        <v>5.0999999999999996</v>
      </c>
      <c r="T74" s="34">
        <v>4.5</v>
      </c>
      <c r="U74" s="34">
        <v>3.9</v>
      </c>
      <c r="V74" s="34">
        <v>4.2</v>
      </c>
      <c r="W74" s="34">
        <v>3.4</v>
      </c>
    </row>
    <row r="75" spans="2:23" x14ac:dyDescent="0.45">
      <c r="B75" s="16">
        <v>18</v>
      </c>
      <c r="C75" s="16" t="s">
        <v>50</v>
      </c>
      <c r="D75" s="34">
        <v>1.8</v>
      </c>
      <c r="E75" s="39">
        <v>1.7</v>
      </c>
      <c r="F75" s="34">
        <v>1.5</v>
      </c>
      <c r="G75" s="34">
        <v>2.1</v>
      </c>
      <c r="H75" s="34">
        <v>2.6</v>
      </c>
      <c r="I75" s="34">
        <v>2.2999999999999998</v>
      </c>
      <c r="J75" s="34">
        <v>2.2999999999999998</v>
      </c>
      <c r="K75" s="34">
        <v>1.7</v>
      </c>
      <c r="L75" s="34">
        <v>2.4</v>
      </c>
      <c r="M75" s="34">
        <v>2.2000000000000002</v>
      </c>
      <c r="N75" s="34">
        <v>2</v>
      </c>
      <c r="O75" s="39">
        <v>1.4</v>
      </c>
      <c r="P75" s="34">
        <v>1.2</v>
      </c>
      <c r="Q75" s="34">
        <v>2.2999999999999998</v>
      </c>
      <c r="R75" s="34">
        <v>2.4</v>
      </c>
      <c r="S75" s="34">
        <v>2.5</v>
      </c>
      <c r="T75" s="34">
        <v>2.4</v>
      </c>
      <c r="U75" s="34">
        <v>2.2999999999999998</v>
      </c>
      <c r="V75" s="34">
        <v>2.4</v>
      </c>
      <c r="W75" s="34">
        <v>1.9</v>
      </c>
    </row>
    <row r="76" spans="2:23" x14ac:dyDescent="0.45">
      <c r="B76" s="16">
        <v>19</v>
      </c>
      <c r="C76" s="16" t="s">
        <v>51</v>
      </c>
      <c r="D76" s="34">
        <v>3.4</v>
      </c>
      <c r="E76" s="39">
        <v>4.7</v>
      </c>
      <c r="F76" s="34">
        <v>3.8</v>
      </c>
      <c r="G76" s="34">
        <v>2.9</v>
      </c>
      <c r="H76" s="34">
        <v>3.3</v>
      </c>
      <c r="I76" s="34">
        <v>3.2</v>
      </c>
      <c r="J76" s="34">
        <v>2.8</v>
      </c>
      <c r="K76" s="34">
        <v>2.5</v>
      </c>
      <c r="L76" s="34">
        <v>2.7</v>
      </c>
      <c r="M76" s="34">
        <v>2.2999999999999998</v>
      </c>
      <c r="N76" s="34">
        <v>2.7</v>
      </c>
      <c r="O76" s="39">
        <v>4.0999999999999996</v>
      </c>
      <c r="P76" s="34">
        <v>3.5</v>
      </c>
      <c r="Q76" s="34">
        <v>3.1</v>
      </c>
      <c r="R76" s="34">
        <v>3.3</v>
      </c>
      <c r="S76" s="34">
        <v>2.8</v>
      </c>
      <c r="T76" s="34">
        <v>2.7</v>
      </c>
      <c r="U76" s="34">
        <v>2.2999999999999998</v>
      </c>
      <c r="V76" s="34">
        <v>2.2000000000000002</v>
      </c>
      <c r="W76" s="34">
        <v>1.6</v>
      </c>
    </row>
    <row r="77" spans="2:23" x14ac:dyDescent="0.45">
      <c r="B77" s="16">
        <v>20</v>
      </c>
      <c r="C77" s="16" t="s">
        <v>52</v>
      </c>
      <c r="D77" s="34">
        <v>2.9</v>
      </c>
      <c r="E77" s="39">
        <v>3</v>
      </c>
      <c r="F77" s="34">
        <v>3.4</v>
      </c>
      <c r="G77" s="34">
        <v>2.9</v>
      </c>
      <c r="H77" s="34">
        <v>3</v>
      </c>
      <c r="I77" s="34">
        <v>2.6</v>
      </c>
      <c r="J77" s="34">
        <v>2.7</v>
      </c>
      <c r="K77" s="34">
        <v>2.2999999999999998</v>
      </c>
      <c r="L77" s="34">
        <v>2.5</v>
      </c>
      <c r="M77" s="34">
        <v>1.7</v>
      </c>
      <c r="N77" s="34">
        <v>2.9</v>
      </c>
      <c r="O77" s="39">
        <v>3.9</v>
      </c>
      <c r="P77" s="34">
        <v>3.2</v>
      </c>
      <c r="Q77" s="34">
        <v>2.9</v>
      </c>
      <c r="R77" s="34">
        <v>3.4</v>
      </c>
      <c r="S77" s="34">
        <v>2.7</v>
      </c>
      <c r="T77" s="34">
        <v>2.8</v>
      </c>
      <c r="U77" s="34">
        <v>2.8</v>
      </c>
      <c r="V77" s="34">
        <v>2.4</v>
      </c>
      <c r="W77" s="34">
        <v>2.1</v>
      </c>
    </row>
    <row r="78" spans="2:23" x14ac:dyDescent="0.45">
      <c r="B78" s="16">
        <v>21</v>
      </c>
      <c r="C78" s="16" t="s">
        <v>53</v>
      </c>
      <c r="D78" s="34">
        <v>2.8</v>
      </c>
      <c r="E78" s="39">
        <v>3.4</v>
      </c>
      <c r="F78" s="34">
        <v>2.4</v>
      </c>
      <c r="G78" s="34">
        <v>2.4</v>
      </c>
      <c r="H78" s="34">
        <v>3.3</v>
      </c>
      <c r="I78" s="34">
        <v>2.7</v>
      </c>
      <c r="J78" s="34">
        <v>2.7</v>
      </c>
      <c r="K78" s="34">
        <v>2.2000000000000002</v>
      </c>
      <c r="L78" s="34">
        <v>2.2999999999999998</v>
      </c>
      <c r="M78" s="34">
        <v>2.2000000000000002</v>
      </c>
      <c r="N78" s="34">
        <v>2.6</v>
      </c>
      <c r="O78" s="39">
        <v>2.8</v>
      </c>
      <c r="P78" s="34">
        <v>2.5</v>
      </c>
      <c r="Q78" s="34">
        <v>2.6</v>
      </c>
      <c r="R78" s="34">
        <v>2.7</v>
      </c>
      <c r="S78" s="34">
        <v>2.5</v>
      </c>
      <c r="T78" s="34">
        <v>2.7</v>
      </c>
      <c r="U78" s="34">
        <v>2.4</v>
      </c>
      <c r="V78" s="34">
        <v>2.5</v>
      </c>
      <c r="W78" s="34">
        <v>1.9</v>
      </c>
    </row>
    <row r="79" spans="2:23" x14ac:dyDescent="0.45">
      <c r="B79" s="16">
        <v>22</v>
      </c>
      <c r="C79" s="16" t="s">
        <v>54</v>
      </c>
      <c r="D79" s="34">
        <v>3.3</v>
      </c>
      <c r="E79" s="39">
        <v>3.6</v>
      </c>
      <c r="F79" s="34">
        <v>3.7</v>
      </c>
      <c r="G79" s="34">
        <v>3.4</v>
      </c>
      <c r="H79" s="34">
        <v>3.1</v>
      </c>
      <c r="I79" s="34">
        <v>3</v>
      </c>
      <c r="J79" s="34">
        <v>2.8</v>
      </c>
      <c r="K79" s="34">
        <v>2.6</v>
      </c>
      <c r="L79" s="34">
        <v>2.8</v>
      </c>
      <c r="M79" s="34">
        <v>1.9</v>
      </c>
      <c r="N79" s="34">
        <v>3.2</v>
      </c>
      <c r="O79" s="39">
        <v>3.8</v>
      </c>
      <c r="P79" s="34">
        <v>3.5</v>
      </c>
      <c r="Q79" s="34">
        <v>2.8</v>
      </c>
      <c r="R79" s="34">
        <v>3</v>
      </c>
      <c r="S79" s="34">
        <v>3</v>
      </c>
      <c r="T79" s="34">
        <v>2.7</v>
      </c>
      <c r="U79" s="34">
        <v>2.1</v>
      </c>
      <c r="V79" s="34">
        <v>2.5</v>
      </c>
      <c r="W79" s="34">
        <v>2.4</v>
      </c>
    </row>
    <row r="80" spans="2:23" x14ac:dyDescent="0.45">
      <c r="B80" s="16">
        <v>23</v>
      </c>
      <c r="C80" s="16" t="s">
        <v>55</v>
      </c>
      <c r="D80" s="34">
        <v>3.6</v>
      </c>
      <c r="E80" s="39">
        <v>3.7</v>
      </c>
      <c r="F80" s="34">
        <v>3.5</v>
      </c>
      <c r="G80" s="34">
        <v>2.6</v>
      </c>
      <c r="H80" s="34">
        <v>3.3</v>
      </c>
      <c r="I80" s="34">
        <v>3.3</v>
      </c>
      <c r="J80" s="34">
        <v>3.2</v>
      </c>
      <c r="K80" s="34">
        <v>2.6</v>
      </c>
      <c r="L80" s="34">
        <v>2.6</v>
      </c>
      <c r="M80" s="34">
        <v>2.2000000000000002</v>
      </c>
      <c r="N80" s="34">
        <v>2.9</v>
      </c>
      <c r="O80" s="39">
        <v>3.9</v>
      </c>
      <c r="P80" s="34">
        <v>3.4</v>
      </c>
      <c r="Q80" s="34">
        <v>3.3</v>
      </c>
      <c r="R80" s="34">
        <v>3.7</v>
      </c>
      <c r="S80" s="34">
        <v>2.8</v>
      </c>
      <c r="T80" s="34">
        <v>3.1</v>
      </c>
      <c r="U80" s="34">
        <v>2.7</v>
      </c>
      <c r="V80" s="34">
        <v>2.9</v>
      </c>
      <c r="W80" s="34">
        <v>2.5</v>
      </c>
    </row>
    <row r="81" spans="2:24" x14ac:dyDescent="0.45">
      <c r="B81" s="16">
        <v>24</v>
      </c>
      <c r="C81" s="16" t="s">
        <v>56</v>
      </c>
      <c r="D81" s="34">
        <v>5.9</v>
      </c>
      <c r="E81" s="39">
        <v>11</v>
      </c>
      <c r="F81" s="34">
        <v>9.4</v>
      </c>
      <c r="G81" s="34">
        <v>6.9</v>
      </c>
      <c r="H81" s="34">
        <v>7.3</v>
      </c>
      <c r="I81" s="34">
        <v>6.8</v>
      </c>
      <c r="J81" s="34">
        <v>5.0999999999999996</v>
      </c>
      <c r="K81" s="34">
        <v>4.3</v>
      </c>
      <c r="L81" s="34">
        <v>4.4000000000000004</v>
      </c>
      <c r="M81" s="34">
        <v>3.3</v>
      </c>
      <c r="N81" s="34">
        <v>4.9000000000000004</v>
      </c>
      <c r="O81" s="39">
        <v>11</v>
      </c>
      <c r="P81" s="34">
        <v>10.199999999999999</v>
      </c>
      <c r="Q81" s="34">
        <v>6.6</v>
      </c>
      <c r="R81" s="34">
        <v>6.4</v>
      </c>
      <c r="S81" s="34">
        <v>6.7</v>
      </c>
      <c r="T81" s="34">
        <v>5.7</v>
      </c>
      <c r="U81" s="34">
        <v>4.4000000000000004</v>
      </c>
      <c r="V81" s="34">
        <v>4.2</v>
      </c>
      <c r="W81" s="34">
        <v>3.5</v>
      </c>
    </row>
    <row r="82" spans="2:24" x14ac:dyDescent="0.45">
      <c r="B82" s="16">
        <v>25</v>
      </c>
      <c r="C82" s="16" t="s">
        <v>57</v>
      </c>
      <c r="D82" s="34">
        <v>2.8</v>
      </c>
      <c r="E82" s="39">
        <v>2.4</v>
      </c>
      <c r="F82" s="34">
        <v>2.7</v>
      </c>
      <c r="G82" s="34">
        <v>3</v>
      </c>
      <c r="H82" s="34">
        <v>3</v>
      </c>
      <c r="I82" s="34">
        <v>2.7</v>
      </c>
      <c r="J82" s="34">
        <v>2.6</v>
      </c>
      <c r="K82" s="34">
        <v>2.5</v>
      </c>
      <c r="L82" s="34">
        <v>2.7</v>
      </c>
      <c r="M82" s="34">
        <v>2.4</v>
      </c>
      <c r="N82" s="34">
        <v>2.5</v>
      </c>
      <c r="O82" s="39">
        <v>3</v>
      </c>
      <c r="P82" s="34">
        <v>2.8</v>
      </c>
      <c r="Q82" s="34">
        <v>3</v>
      </c>
      <c r="R82" s="34">
        <v>3.2</v>
      </c>
      <c r="S82" s="34">
        <v>3</v>
      </c>
      <c r="T82" s="34">
        <v>2.9</v>
      </c>
      <c r="U82" s="34">
        <v>2.4</v>
      </c>
      <c r="V82" s="34">
        <v>3.1</v>
      </c>
      <c r="W82" s="34">
        <v>2.4</v>
      </c>
    </row>
    <row r="83" spans="2:24" x14ac:dyDescent="0.45">
      <c r="B83" s="16">
        <v>26</v>
      </c>
      <c r="C83" s="16" t="s">
        <v>58</v>
      </c>
      <c r="D83" s="34">
        <v>3.6</v>
      </c>
      <c r="E83" s="39">
        <v>7.3</v>
      </c>
      <c r="F83" s="34">
        <v>5.4</v>
      </c>
      <c r="G83" s="34">
        <v>3.9</v>
      </c>
      <c r="H83" s="34">
        <v>3.8</v>
      </c>
      <c r="I83" s="34">
        <v>3.7</v>
      </c>
      <c r="J83" s="34">
        <v>3.2</v>
      </c>
      <c r="K83" s="34">
        <v>3</v>
      </c>
      <c r="L83" s="34">
        <v>3.1</v>
      </c>
      <c r="M83" s="34">
        <v>1.7</v>
      </c>
      <c r="N83" s="34">
        <v>3.1</v>
      </c>
      <c r="O83" s="39">
        <v>8.5</v>
      </c>
      <c r="P83" s="34">
        <v>5.6</v>
      </c>
      <c r="Q83" s="34">
        <v>4.5</v>
      </c>
      <c r="R83" s="34">
        <v>3.9</v>
      </c>
      <c r="S83" s="34">
        <v>3.5</v>
      </c>
      <c r="T83" s="34">
        <v>2.6</v>
      </c>
      <c r="U83" s="34">
        <v>3</v>
      </c>
      <c r="V83" s="34">
        <v>2.7</v>
      </c>
      <c r="W83" s="34">
        <v>1.8</v>
      </c>
    </row>
    <row r="84" spans="2:24" x14ac:dyDescent="0.45">
      <c r="B84" s="16">
        <v>27</v>
      </c>
      <c r="C84" s="16" t="s">
        <v>59</v>
      </c>
      <c r="D84" s="34">
        <v>2.5</v>
      </c>
      <c r="E84" s="39">
        <v>3.6</v>
      </c>
      <c r="F84" s="34">
        <v>2.6</v>
      </c>
      <c r="G84" s="34">
        <v>2.6</v>
      </c>
      <c r="H84" s="34">
        <v>2.6</v>
      </c>
      <c r="I84" s="34">
        <v>2.2000000000000002</v>
      </c>
      <c r="J84" s="34">
        <v>2.4</v>
      </c>
      <c r="K84" s="34">
        <v>1.6</v>
      </c>
      <c r="L84" s="34">
        <v>2.1</v>
      </c>
      <c r="M84" s="34">
        <v>1.9</v>
      </c>
      <c r="N84" s="34">
        <v>2.2000000000000002</v>
      </c>
      <c r="O84" s="39">
        <v>2.4</v>
      </c>
      <c r="P84" s="34">
        <v>2.1</v>
      </c>
      <c r="Q84" s="34">
        <v>2.4</v>
      </c>
      <c r="R84" s="34">
        <v>2.2000000000000002</v>
      </c>
      <c r="S84" s="34">
        <v>2.2000000000000002</v>
      </c>
      <c r="T84" s="34">
        <v>2.2999999999999998</v>
      </c>
      <c r="U84" s="34">
        <v>2.1</v>
      </c>
      <c r="V84" s="34">
        <v>2.2000000000000002</v>
      </c>
      <c r="W84" s="34">
        <v>1.6</v>
      </c>
    </row>
    <row r="85" spans="2:24" x14ac:dyDescent="0.45">
      <c r="B85" s="16">
        <v>28</v>
      </c>
      <c r="C85" s="16" t="s">
        <v>60</v>
      </c>
      <c r="D85" s="16">
        <v>3</v>
      </c>
      <c r="E85" s="39">
        <v>2.4</v>
      </c>
      <c r="F85" s="34">
        <v>2.9</v>
      </c>
      <c r="G85" s="34">
        <v>2.7</v>
      </c>
      <c r="H85" s="34">
        <v>2.8</v>
      </c>
      <c r="I85" s="34">
        <v>3</v>
      </c>
      <c r="J85" s="34">
        <v>2.9</v>
      </c>
      <c r="K85" s="34">
        <v>2.5</v>
      </c>
      <c r="L85" s="34">
        <v>2.6</v>
      </c>
      <c r="M85" s="34">
        <v>2</v>
      </c>
      <c r="N85" s="16">
        <v>2.2999999999999998</v>
      </c>
      <c r="O85" s="39">
        <v>2.8</v>
      </c>
      <c r="P85" s="34">
        <v>2.8</v>
      </c>
      <c r="Q85" s="34">
        <v>2.9</v>
      </c>
      <c r="R85" s="34">
        <v>3.2</v>
      </c>
      <c r="S85" s="34">
        <v>2.9</v>
      </c>
      <c r="T85" s="34">
        <v>2.7</v>
      </c>
      <c r="U85" s="34">
        <v>2.6</v>
      </c>
      <c r="V85" s="34">
        <v>2.6</v>
      </c>
      <c r="W85" s="34">
        <v>2</v>
      </c>
    </row>
    <row r="86" spans="2:24" x14ac:dyDescent="0.45">
      <c r="B86" s="16">
        <v>29</v>
      </c>
      <c r="C86" s="16" t="s">
        <v>61</v>
      </c>
      <c r="D86" s="16">
        <v>3.6</v>
      </c>
      <c r="E86" s="39">
        <v>3.7</v>
      </c>
      <c r="F86" s="34">
        <v>3.7</v>
      </c>
      <c r="G86" s="34">
        <v>4.0999999999999996</v>
      </c>
      <c r="H86" s="34">
        <v>4.5999999999999996</v>
      </c>
      <c r="I86" s="34">
        <v>4.0999999999999996</v>
      </c>
      <c r="J86" s="34">
        <v>3.8</v>
      </c>
      <c r="K86" s="34">
        <v>3.5</v>
      </c>
      <c r="L86" s="34">
        <v>4.2</v>
      </c>
      <c r="M86" s="34">
        <v>3.5</v>
      </c>
      <c r="N86" s="16">
        <v>3.5</v>
      </c>
      <c r="O86" s="39">
        <v>4.5999999999999996</v>
      </c>
      <c r="P86" s="34">
        <v>3.5</v>
      </c>
      <c r="Q86" s="34">
        <v>4.2</v>
      </c>
      <c r="R86" s="34">
        <v>4.3</v>
      </c>
      <c r="S86" s="34">
        <v>4.0999999999999996</v>
      </c>
      <c r="T86" s="34">
        <v>4</v>
      </c>
      <c r="U86" s="34">
        <v>3.5</v>
      </c>
      <c r="V86" s="34">
        <v>3.4</v>
      </c>
      <c r="W86" s="34">
        <v>2.9</v>
      </c>
    </row>
    <row r="87" spans="2:24" x14ac:dyDescent="0.45">
      <c r="B87" s="16">
        <v>30</v>
      </c>
      <c r="C87" s="16" t="s">
        <v>62</v>
      </c>
      <c r="D87" s="16">
        <v>8.6999999999999993</v>
      </c>
      <c r="E87" s="39">
        <v>36</v>
      </c>
      <c r="F87" s="34">
        <v>23.8</v>
      </c>
      <c r="G87" s="34">
        <v>14.9</v>
      </c>
      <c r="H87" s="34">
        <v>10.8</v>
      </c>
      <c r="I87" s="34">
        <v>9.6999999999999993</v>
      </c>
      <c r="J87" s="34">
        <v>6.8</v>
      </c>
      <c r="K87" s="34">
        <v>4.7</v>
      </c>
      <c r="L87" s="34">
        <v>4.3</v>
      </c>
      <c r="M87" s="34">
        <v>2</v>
      </c>
      <c r="N87" s="16">
        <v>4.7</v>
      </c>
      <c r="O87" s="39">
        <v>30.9</v>
      </c>
      <c r="P87" s="34">
        <v>21.5</v>
      </c>
      <c r="Q87" s="34">
        <v>14.2</v>
      </c>
      <c r="R87" s="34">
        <v>10</v>
      </c>
      <c r="S87" s="34">
        <v>7.8</v>
      </c>
      <c r="T87" s="34">
        <v>5.0999999999999996</v>
      </c>
      <c r="U87" s="34">
        <v>4.0999999999999996</v>
      </c>
      <c r="V87" s="34">
        <v>3.6</v>
      </c>
      <c r="W87" s="34">
        <v>1.4</v>
      </c>
    </row>
    <row r="88" spans="2:24" x14ac:dyDescent="0.45">
      <c r="B88" s="16">
        <v>31</v>
      </c>
      <c r="C88" s="16" t="s">
        <v>63</v>
      </c>
      <c r="D88" s="16">
        <v>3.9</v>
      </c>
      <c r="E88" s="39">
        <v>5.6</v>
      </c>
      <c r="F88" s="34">
        <v>5.2</v>
      </c>
      <c r="G88" s="34">
        <v>4.0999999999999996</v>
      </c>
      <c r="H88" s="34">
        <v>4.4000000000000004</v>
      </c>
      <c r="I88" s="34">
        <v>3.9</v>
      </c>
      <c r="J88" s="34">
        <v>3.6</v>
      </c>
      <c r="K88" s="34">
        <v>3</v>
      </c>
      <c r="L88" s="34">
        <v>2.9</v>
      </c>
      <c r="M88" s="34">
        <v>1.6</v>
      </c>
      <c r="N88" s="16">
        <v>3.3</v>
      </c>
      <c r="O88" s="39">
        <v>6.3</v>
      </c>
      <c r="P88" s="34">
        <v>4.5999999999999996</v>
      </c>
      <c r="Q88" s="34">
        <v>3.8</v>
      </c>
      <c r="R88" s="34">
        <v>3.5</v>
      </c>
      <c r="S88" s="34">
        <v>3.4</v>
      </c>
      <c r="T88" s="34">
        <v>3.5</v>
      </c>
      <c r="U88" s="34">
        <v>2.9</v>
      </c>
      <c r="V88" s="34">
        <v>2.8</v>
      </c>
      <c r="W88" s="34">
        <v>1.8</v>
      </c>
    </row>
    <row r="89" spans="2:24" x14ac:dyDescent="0.45">
      <c r="B89" s="16">
        <v>32</v>
      </c>
      <c r="C89" s="16" t="s">
        <v>64</v>
      </c>
      <c r="D89" s="16">
        <v>2.4</v>
      </c>
      <c r="E89" s="39">
        <v>3.8</v>
      </c>
      <c r="F89" s="34">
        <v>3.2</v>
      </c>
      <c r="G89" s="34">
        <v>2.4</v>
      </c>
      <c r="H89" s="34">
        <v>2.7</v>
      </c>
      <c r="I89" s="34">
        <v>2.2999999999999998</v>
      </c>
      <c r="J89" s="34">
        <v>2.1</v>
      </c>
      <c r="K89" s="34">
        <v>1.6</v>
      </c>
      <c r="L89" s="34">
        <v>1.7</v>
      </c>
      <c r="M89" s="34">
        <v>0.8</v>
      </c>
      <c r="N89" s="16">
        <v>2.4</v>
      </c>
      <c r="O89" s="39">
        <v>3.7</v>
      </c>
      <c r="P89" s="34">
        <v>3.2</v>
      </c>
      <c r="Q89" s="34">
        <v>2.5</v>
      </c>
      <c r="R89" s="34">
        <v>2.7</v>
      </c>
      <c r="S89" s="34">
        <v>2.2000000000000002</v>
      </c>
      <c r="T89" s="34">
        <v>2.4</v>
      </c>
      <c r="U89" s="34">
        <v>1.9</v>
      </c>
      <c r="V89" s="34">
        <v>2</v>
      </c>
      <c r="W89" s="34">
        <v>0.9</v>
      </c>
    </row>
    <row r="90" spans="2:24" x14ac:dyDescent="0.45">
      <c r="B90" s="16">
        <v>33</v>
      </c>
      <c r="C90" s="16" t="s">
        <v>65</v>
      </c>
      <c r="D90" s="16">
        <v>3.1</v>
      </c>
      <c r="E90" s="39">
        <v>3.8</v>
      </c>
      <c r="F90" s="34">
        <v>3.7</v>
      </c>
      <c r="G90" s="34">
        <v>3.3</v>
      </c>
      <c r="H90" s="34">
        <v>3.2</v>
      </c>
      <c r="I90" s="34">
        <v>3.2</v>
      </c>
      <c r="J90" s="34">
        <v>3</v>
      </c>
      <c r="K90" s="34">
        <v>2.4</v>
      </c>
      <c r="L90" s="34">
        <v>2.8</v>
      </c>
      <c r="M90" s="34">
        <v>1.7</v>
      </c>
      <c r="N90" s="16">
        <v>3.1</v>
      </c>
      <c r="O90" s="39">
        <v>4.4000000000000004</v>
      </c>
      <c r="P90" s="34">
        <v>3.6</v>
      </c>
      <c r="Q90" s="34">
        <v>3.6</v>
      </c>
      <c r="R90" s="34">
        <v>3.4</v>
      </c>
      <c r="S90" s="34">
        <v>3.2</v>
      </c>
      <c r="T90" s="34">
        <v>3.1</v>
      </c>
      <c r="U90" s="34">
        <v>2.5</v>
      </c>
      <c r="V90" s="34">
        <v>2.4</v>
      </c>
      <c r="W90" s="34">
        <v>1.9</v>
      </c>
    </row>
    <row r="91" spans="2:24" x14ac:dyDescent="0.45">
      <c r="B91" s="16">
        <v>34</v>
      </c>
      <c r="C91" s="16" t="s">
        <v>66</v>
      </c>
      <c r="D91" s="16">
        <v>5.5</v>
      </c>
      <c r="E91" s="39">
        <v>12.6</v>
      </c>
      <c r="F91" s="34">
        <v>11.7</v>
      </c>
      <c r="G91" s="34">
        <v>7.2</v>
      </c>
      <c r="H91" s="34">
        <v>5.9</v>
      </c>
      <c r="I91" s="34">
        <v>6.2</v>
      </c>
      <c r="J91" s="34">
        <v>5</v>
      </c>
      <c r="K91" s="34">
        <v>4.0999999999999996</v>
      </c>
      <c r="L91" s="34">
        <v>4.4000000000000004</v>
      </c>
      <c r="M91" s="34">
        <v>3.2</v>
      </c>
      <c r="N91" s="16">
        <v>4.5999999999999996</v>
      </c>
      <c r="O91" s="39">
        <v>12</v>
      </c>
      <c r="P91" s="34">
        <v>10.8</v>
      </c>
      <c r="Q91" s="34">
        <v>7.4</v>
      </c>
      <c r="R91" s="34">
        <v>7.4</v>
      </c>
      <c r="S91" s="34">
        <v>5.7</v>
      </c>
      <c r="T91" s="34">
        <v>4.9000000000000004</v>
      </c>
      <c r="U91" s="34">
        <v>4.0999999999999996</v>
      </c>
      <c r="V91" s="34">
        <v>4.4000000000000004</v>
      </c>
      <c r="W91" s="34">
        <v>3.1</v>
      </c>
    </row>
    <row r="92" spans="2:24" x14ac:dyDescent="0.45">
      <c r="B92" s="18">
        <v>35</v>
      </c>
      <c r="C92" s="18" t="s">
        <v>67</v>
      </c>
      <c r="D92" s="18">
        <v>2.5</v>
      </c>
      <c r="E92" s="39">
        <v>3.2</v>
      </c>
      <c r="F92" s="34">
        <v>2.8</v>
      </c>
      <c r="G92" s="34">
        <v>2.2000000000000002</v>
      </c>
      <c r="H92" s="34">
        <v>2.4</v>
      </c>
      <c r="I92" s="34">
        <v>2.2000000000000002</v>
      </c>
      <c r="J92" s="34">
        <v>2.1</v>
      </c>
      <c r="K92" s="34">
        <v>1.6</v>
      </c>
      <c r="L92" s="34">
        <v>1.5</v>
      </c>
      <c r="M92" s="34">
        <v>0.9</v>
      </c>
      <c r="N92" s="18">
        <v>2.1</v>
      </c>
      <c r="O92" s="39">
        <v>3.5</v>
      </c>
      <c r="P92" s="34">
        <v>2.8</v>
      </c>
      <c r="Q92" s="34">
        <v>2.2999999999999998</v>
      </c>
      <c r="R92" s="34">
        <v>2.2000000000000002</v>
      </c>
      <c r="S92" s="34">
        <v>2.2000000000000002</v>
      </c>
      <c r="T92" s="34">
        <v>2</v>
      </c>
      <c r="U92" s="34">
        <v>2</v>
      </c>
      <c r="V92" s="34">
        <v>1.5</v>
      </c>
      <c r="W92" s="34">
        <v>0.7</v>
      </c>
      <c r="X92" s="5" t="s">
        <v>68</v>
      </c>
    </row>
    <row r="93" spans="2:24" x14ac:dyDescent="0.45">
      <c r="B93" s="16">
        <v>36</v>
      </c>
      <c r="C93" s="16" t="s">
        <v>69</v>
      </c>
      <c r="D93" s="34">
        <v>10.8</v>
      </c>
      <c r="E93" s="39">
        <v>5.6</v>
      </c>
      <c r="F93" s="34">
        <v>5.6</v>
      </c>
      <c r="G93" s="34">
        <v>5.9</v>
      </c>
      <c r="H93" s="34">
        <v>8.8000000000000007</v>
      </c>
      <c r="I93" s="34">
        <v>11.3</v>
      </c>
      <c r="J93" s="34">
        <v>11.4</v>
      </c>
      <c r="K93" s="34">
        <v>11.8</v>
      </c>
      <c r="L93" s="34">
        <v>14.7</v>
      </c>
      <c r="M93" s="34">
        <v>15.4</v>
      </c>
      <c r="N93" s="34">
        <v>18.2</v>
      </c>
      <c r="O93" s="39">
        <v>8.6999999999999993</v>
      </c>
      <c r="P93" s="34">
        <v>9.1</v>
      </c>
      <c r="Q93" s="34">
        <v>11.8</v>
      </c>
      <c r="R93" s="34">
        <v>13.2</v>
      </c>
      <c r="S93" s="34">
        <v>16.399999999999999</v>
      </c>
      <c r="T93" s="34">
        <v>19.3</v>
      </c>
      <c r="U93" s="34">
        <v>22.8</v>
      </c>
      <c r="V93" s="34">
        <v>26.7</v>
      </c>
      <c r="W93" s="34">
        <v>31.5</v>
      </c>
    </row>
    <row r="94" spans="2:24" x14ac:dyDescent="0.45">
      <c r="B94" s="16">
        <v>37</v>
      </c>
      <c r="C94" s="16" t="s">
        <v>70</v>
      </c>
      <c r="D94" s="34">
        <v>12.7</v>
      </c>
      <c r="E94" s="39">
        <v>11.5</v>
      </c>
      <c r="F94" s="34">
        <v>11.4</v>
      </c>
      <c r="G94" s="34">
        <v>12.1</v>
      </c>
      <c r="H94" s="34">
        <v>12.4</v>
      </c>
      <c r="I94" s="34">
        <v>14</v>
      </c>
      <c r="J94" s="34">
        <v>12</v>
      </c>
      <c r="K94" s="34">
        <v>13</v>
      </c>
      <c r="L94" s="34">
        <v>15.1</v>
      </c>
      <c r="M94" s="34">
        <v>16.2</v>
      </c>
      <c r="N94" s="34">
        <v>19.3</v>
      </c>
      <c r="O94" s="39">
        <v>12.2</v>
      </c>
      <c r="P94" s="34">
        <v>13.3</v>
      </c>
      <c r="Q94" s="34">
        <v>15.1</v>
      </c>
      <c r="R94" s="34">
        <v>16.899999999999999</v>
      </c>
      <c r="S94" s="34">
        <v>18.600000000000001</v>
      </c>
      <c r="T94" s="34">
        <v>21.7</v>
      </c>
      <c r="U94" s="34">
        <v>21.4</v>
      </c>
      <c r="V94" s="34">
        <v>23.1</v>
      </c>
      <c r="W94" s="34">
        <v>26.7</v>
      </c>
    </row>
    <row r="95" spans="2:24" x14ac:dyDescent="0.45">
      <c r="B95" s="16">
        <v>38</v>
      </c>
      <c r="C95" s="16" t="s">
        <v>71</v>
      </c>
      <c r="D95" s="34">
        <v>11.1</v>
      </c>
      <c r="E95" s="39">
        <v>6.8</v>
      </c>
      <c r="F95" s="34">
        <v>11.2</v>
      </c>
      <c r="G95" s="34">
        <v>11.1</v>
      </c>
      <c r="H95" s="34">
        <v>12.1</v>
      </c>
      <c r="I95" s="34">
        <v>12.9</v>
      </c>
      <c r="J95" s="34">
        <v>12.8</v>
      </c>
      <c r="K95" s="34">
        <v>14.1</v>
      </c>
      <c r="L95" s="34">
        <v>15.3</v>
      </c>
      <c r="M95" s="34">
        <v>15.4</v>
      </c>
      <c r="N95" s="34">
        <v>15.2</v>
      </c>
      <c r="O95" s="39">
        <v>8.6999999999999993</v>
      </c>
      <c r="P95" s="34">
        <v>12.1</v>
      </c>
      <c r="Q95" s="34">
        <v>13.3</v>
      </c>
      <c r="R95" s="34">
        <v>15.1</v>
      </c>
      <c r="S95" s="34">
        <v>16.5</v>
      </c>
      <c r="T95" s="34">
        <v>17.600000000000001</v>
      </c>
      <c r="U95" s="34">
        <v>15.4</v>
      </c>
      <c r="V95" s="34">
        <v>20.6</v>
      </c>
      <c r="W95" s="34">
        <v>24.1</v>
      </c>
    </row>
    <row r="96" spans="2:24" x14ac:dyDescent="0.45">
      <c r="B96" s="16">
        <v>39</v>
      </c>
      <c r="C96" s="16" t="s">
        <v>72</v>
      </c>
      <c r="D96" s="34">
        <v>13.5</v>
      </c>
      <c r="E96" s="39">
        <v>10.3</v>
      </c>
      <c r="F96" s="34">
        <v>11.4</v>
      </c>
      <c r="G96" s="34">
        <v>11.1</v>
      </c>
      <c r="H96" s="34">
        <v>12</v>
      </c>
      <c r="I96" s="34">
        <v>15.5</v>
      </c>
      <c r="J96" s="34">
        <v>13.5</v>
      </c>
      <c r="K96" s="34">
        <v>13.5</v>
      </c>
      <c r="L96" s="34">
        <v>14.1</v>
      </c>
      <c r="M96" s="34">
        <v>14.9</v>
      </c>
      <c r="N96" s="34">
        <v>18.3</v>
      </c>
      <c r="O96" s="39">
        <v>12</v>
      </c>
      <c r="P96" s="34">
        <v>14.1</v>
      </c>
      <c r="Q96" s="34">
        <v>15.9</v>
      </c>
      <c r="R96" s="34">
        <v>16.399999999999999</v>
      </c>
      <c r="S96" s="34">
        <v>17.3</v>
      </c>
      <c r="T96" s="34">
        <v>21.3</v>
      </c>
      <c r="U96" s="34">
        <v>21.7</v>
      </c>
      <c r="V96" s="34">
        <v>26.1</v>
      </c>
      <c r="W96" s="34">
        <v>29</v>
      </c>
    </row>
    <row r="97" spans="2:24" x14ac:dyDescent="0.45">
      <c r="B97" s="16">
        <v>40</v>
      </c>
      <c r="C97" s="16" t="s">
        <v>73</v>
      </c>
      <c r="D97" s="34">
        <v>15.7</v>
      </c>
      <c r="E97" s="39">
        <v>9.1</v>
      </c>
      <c r="F97" s="34">
        <v>13.3</v>
      </c>
      <c r="G97" s="34">
        <v>13.4</v>
      </c>
      <c r="H97" s="34">
        <v>17.3</v>
      </c>
      <c r="I97" s="34">
        <v>18.600000000000001</v>
      </c>
      <c r="J97" s="34">
        <v>18.899999999999999</v>
      </c>
      <c r="K97" s="34">
        <v>20.5</v>
      </c>
      <c r="L97" s="34">
        <v>23.2</v>
      </c>
      <c r="M97" s="34">
        <v>28.4</v>
      </c>
      <c r="N97" s="34">
        <v>28</v>
      </c>
      <c r="O97" s="39">
        <v>12.8</v>
      </c>
      <c r="P97" s="34">
        <v>17.2</v>
      </c>
      <c r="Q97" s="34">
        <v>21.1</v>
      </c>
      <c r="R97" s="34">
        <v>26.6</v>
      </c>
      <c r="S97" s="34">
        <v>28.9</v>
      </c>
      <c r="T97" s="34">
        <v>29.8</v>
      </c>
      <c r="U97" s="34">
        <v>33.9</v>
      </c>
      <c r="V97" s="34" t="s">
        <v>74</v>
      </c>
      <c r="W97" s="34" t="s">
        <v>74</v>
      </c>
    </row>
    <row r="98" spans="2:24" x14ac:dyDescent="0.45">
      <c r="B98" s="16">
        <v>41</v>
      </c>
      <c r="C98" s="16" t="s">
        <v>75</v>
      </c>
      <c r="D98" s="34">
        <v>14.9</v>
      </c>
      <c r="E98" s="39">
        <v>37.6</v>
      </c>
      <c r="F98" s="34">
        <v>29.5</v>
      </c>
      <c r="G98" s="34">
        <v>20.399999999999999</v>
      </c>
      <c r="H98" s="34">
        <v>18.100000000000001</v>
      </c>
      <c r="I98" s="34">
        <v>17</v>
      </c>
      <c r="J98" s="34">
        <v>14.1</v>
      </c>
      <c r="K98" s="34">
        <v>13.5</v>
      </c>
      <c r="L98" s="34">
        <v>13.5</v>
      </c>
      <c r="M98" s="34">
        <v>10.8</v>
      </c>
      <c r="N98" s="34">
        <v>14.4</v>
      </c>
      <c r="O98" s="39">
        <v>30.2</v>
      </c>
      <c r="P98" s="34">
        <v>25.6</v>
      </c>
      <c r="Q98" s="34">
        <v>21.7</v>
      </c>
      <c r="R98" s="34">
        <v>18.100000000000001</v>
      </c>
      <c r="S98" s="34">
        <v>17.600000000000001</v>
      </c>
      <c r="T98" s="34">
        <v>16.2</v>
      </c>
      <c r="U98" s="34">
        <v>11.5</v>
      </c>
      <c r="V98" s="34">
        <v>14.3</v>
      </c>
      <c r="W98" s="34" t="s">
        <v>74</v>
      </c>
    </row>
    <row r="99" spans="2:24" x14ac:dyDescent="0.45">
      <c r="B99" s="16">
        <v>42</v>
      </c>
      <c r="C99" s="16" t="s">
        <v>76</v>
      </c>
      <c r="D99" s="34">
        <v>16.5</v>
      </c>
      <c r="E99" s="39">
        <v>30.7</v>
      </c>
      <c r="F99" s="34">
        <v>24.3</v>
      </c>
      <c r="G99" s="34">
        <v>18.3</v>
      </c>
      <c r="H99" s="34">
        <v>17.5</v>
      </c>
      <c r="I99" s="34">
        <v>17.600000000000001</v>
      </c>
      <c r="J99" s="34">
        <v>15.3</v>
      </c>
      <c r="K99" s="34">
        <v>13.3</v>
      </c>
      <c r="L99" s="34">
        <v>13</v>
      </c>
      <c r="M99" s="34">
        <v>11.3</v>
      </c>
      <c r="N99" s="34">
        <v>15.2</v>
      </c>
      <c r="O99" s="39">
        <v>28.3</v>
      </c>
      <c r="P99" s="34">
        <v>24.4</v>
      </c>
      <c r="Q99" s="34">
        <v>20.2</v>
      </c>
      <c r="R99" s="34">
        <v>16.600000000000001</v>
      </c>
      <c r="S99" s="34">
        <v>16.899999999999999</v>
      </c>
      <c r="T99" s="34">
        <v>14.9</v>
      </c>
      <c r="U99" s="34">
        <v>14.1</v>
      </c>
      <c r="V99" s="34">
        <v>14.9</v>
      </c>
      <c r="W99" s="34">
        <v>13.5</v>
      </c>
    </row>
    <row r="100" spans="2:24" x14ac:dyDescent="0.45">
      <c r="B100" s="16">
        <v>43</v>
      </c>
      <c r="C100" s="16" t="s">
        <v>77</v>
      </c>
      <c r="D100" s="34">
        <v>17.399999999999999</v>
      </c>
      <c r="E100" s="39">
        <v>10.3</v>
      </c>
      <c r="F100" s="34">
        <v>14</v>
      </c>
      <c r="G100" s="34">
        <v>16.2</v>
      </c>
      <c r="H100" s="34">
        <v>17.7</v>
      </c>
      <c r="I100" s="34">
        <v>19.2</v>
      </c>
      <c r="J100" s="34">
        <v>17.7</v>
      </c>
      <c r="K100" s="34">
        <v>16.8</v>
      </c>
      <c r="L100" s="34">
        <v>18.8</v>
      </c>
      <c r="M100" s="34">
        <v>22.4</v>
      </c>
      <c r="N100" s="34">
        <v>19.600000000000001</v>
      </c>
      <c r="O100" s="39">
        <v>13.4</v>
      </c>
      <c r="P100" s="34">
        <v>15.7</v>
      </c>
      <c r="Q100" s="34">
        <v>18.2</v>
      </c>
      <c r="R100" s="34">
        <v>19.2</v>
      </c>
      <c r="S100" s="34">
        <v>18.899999999999999</v>
      </c>
      <c r="T100" s="34">
        <v>21.7</v>
      </c>
      <c r="U100" s="34">
        <v>21.1</v>
      </c>
      <c r="V100" s="34">
        <v>22.3</v>
      </c>
      <c r="W100" s="34">
        <v>23.5</v>
      </c>
    </row>
    <row r="101" spans="2:24" x14ac:dyDescent="0.45">
      <c r="B101" s="16">
        <v>44</v>
      </c>
      <c r="C101" s="16" t="s">
        <v>78</v>
      </c>
      <c r="D101" s="34">
        <v>21.1</v>
      </c>
      <c r="E101" s="39">
        <v>9.8000000000000007</v>
      </c>
      <c r="F101" s="34">
        <v>15.4</v>
      </c>
      <c r="G101" s="34">
        <v>17.600000000000001</v>
      </c>
      <c r="H101" s="34">
        <v>19.899999999999999</v>
      </c>
      <c r="I101" s="34">
        <v>21.5</v>
      </c>
      <c r="J101" s="34">
        <v>21.5</v>
      </c>
      <c r="K101" s="34">
        <v>25.2</v>
      </c>
      <c r="L101" s="34">
        <v>29.1</v>
      </c>
      <c r="M101" s="34">
        <v>31.1</v>
      </c>
      <c r="N101" s="34">
        <v>32.4</v>
      </c>
      <c r="O101" s="39">
        <v>14.6</v>
      </c>
      <c r="P101" s="34">
        <v>20.7</v>
      </c>
      <c r="Q101" s="34">
        <v>25.6</v>
      </c>
      <c r="R101" s="34">
        <v>33.6</v>
      </c>
      <c r="S101" s="34">
        <v>34.5</v>
      </c>
      <c r="T101" s="34">
        <v>35.9</v>
      </c>
      <c r="U101" s="34">
        <v>40.9</v>
      </c>
      <c r="V101" s="34">
        <v>47.3</v>
      </c>
      <c r="W101" s="34">
        <v>54.3</v>
      </c>
    </row>
    <row r="102" spans="2:24" x14ac:dyDescent="0.45">
      <c r="B102" s="16">
        <v>45</v>
      </c>
      <c r="C102" s="16" t="s">
        <v>79</v>
      </c>
      <c r="D102" s="34">
        <v>21.6</v>
      </c>
      <c r="E102" s="39">
        <v>36.799999999999997</v>
      </c>
      <c r="F102" s="34">
        <v>29.7</v>
      </c>
      <c r="G102" s="34">
        <v>24.9</v>
      </c>
      <c r="H102" s="34">
        <v>24.7</v>
      </c>
      <c r="I102" s="34">
        <v>24.6</v>
      </c>
      <c r="J102" s="34">
        <v>21.1</v>
      </c>
      <c r="K102" s="34">
        <v>21.1</v>
      </c>
      <c r="L102" s="34">
        <v>17.8</v>
      </c>
      <c r="M102" s="34">
        <v>14.5</v>
      </c>
      <c r="N102" s="34">
        <v>21.1</v>
      </c>
      <c r="O102" s="39">
        <v>33.200000000000003</v>
      </c>
      <c r="P102" s="34">
        <v>30.3</v>
      </c>
      <c r="Q102" s="34">
        <v>26.1</v>
      </c>
      <c r="R102" s="34">
        <v>22.2</v>
      </c>
      <c r="S102" s="34">
        <v>21.8</v>
      </c>
      <c r="T102" s="34">
        <v>19.7</v>
      </c>
      <c r="U102" s="34">
        <v>19.8</v>
      </c>
      <c r="V102" s="34">
        <v>19.5</v>
      </c>
      <c r="W102" s="34">
        <v>13.5</v>
      </c>
    </row>
    <row r="103" spans="2:24" x14ac:dyDescent="0.45">
      <c r="B103" s="16">
        <v>46</v>
      </c>
      <c r="C103" s="16" t="s">
        <v>80</v>
      </c>
      <c r="D103" s="34">
        <v>23.5</v>
      </c>
      <c r="E103" s="39">
        <v>32.4</v>
      </c>
      <c r="F103" s="34">
        <v>29.9</v>
      </c>
      <c r="G103" s="34">
        <v>26.2</v>
      </c>
      <c r="H103" s="34">
        <v>26.8</v>
      </c>
      <c r="I103" s="34">
        <v>25.1</v>
      </c>
      <c r="J103" s="34">
        <v>21.7</v>
      </c>
      <c r="K103" s="34">
        <v>21.8</v>
      </c>
      <c r="L103" s="34">
        <v>24.8</v>
      </c>
      <c r="M103" s="34">
        <v>25.1</v>
      </c>
      <c r="N103" s="34">
        <v>27.3</v>
      </c>
      <c r="O103" s="39">
        <v>32.299999999999997</v>
      </c>
      <c r="P103" s="34">
        <v>28.9</v>
      </c>
      <c r="Q103" s="34">
        <v>26.7</v>
      </c>
      <c r="R103" s="34">
        <v>28.6</v>
      </c>
      <c r="S103" s="34">
        <v>27.8</v>
      </c>
      <c r="T103" s="34">
        <v>30.6</v>
      </c>
      <c r="U103" s="34">
        <v>29.7</v>
      </c>
      <c r="V103" s="34">
        <v>30.7</v>
      </c>
      <c r="W103" s="34">
        <v>31.5</v>
      </c>
    </row>
    <row r="104" spans="2:24" x14ac:dyDescent="0.45">
      <c r="B104" s="16">
        <v>47</v>
      </c>
      <c r="C104" s="16" t="s">
        <v>81</v>
      </c>
      <c r="D104" s="34">
        <v>24.1</v>
      </c>
      <c r="E104" s="39"/>
      <c r="F104" s="34"/>
      <c r="G104" s="34"/>
      <c r="H104" s="34"/>
      <c r="I104" s="34"/>
      <c r="J104" s="34"/>
      <c r="K104" s="34"/>
      <c r="L104" s="34"/>
      <c r="M104" s="34"/>
      <c r="N104" s="34">
        <v>28.1</v>
      </c>
      <c r="O104" s="39">
        <v>38.299999999999997</v>
      </c>
      <c r="P104" s="34">
        <v>34.299999999999997</v>
      </c>
      <c r="Q104" s="34">
        <v>31</v>
      </c>
      <c r="R104" s="34">
        <v>28.9</v>
      </c>
      <c r="S104" s="34">
        <v>27</v>
      </c>
      <c r="T104" s="34">
        <v>28.7</v>
      </c>
      <c r="U104" s="34">
        <v>30.5</v>
      </c>
      <c r="V104" s="34">
        <v>31.8</v>
      </c>
      <c r="W104" s="34">
        <v>28.9</v>
      </c>
    </row>
    <row r="105" spans="2:24" x14ac:dyDescent="0.45">
      <c r="B105" s="16">
        <v>48</v>
      </c>
      <c r="C105" s="16" t="s">
        <v>82</v>
      </c>
      <c r="D105" s="16">
        <v>35.4</v>
      </c>
      <c r="E105" s="39">
        <v>40.9</v>
      </c>
      <c r="F105" s="34">
        <v>40.5</v>
      </c>
      <c r="G105" s="34">
        <v>41</v>
      </c>
      <c r="H105" s="34">
        <v>41.2</v>
      </c>
      <c r="I105" s="34">
        <v>38.5</v>
      </c>
      <c r="J105" s="34">
        <v>37.700000000000003</v>
      </c>
      <c r="K105" s="34">
        <v>38</v>
      </c>
      <c r="L105" s="34">
        <v>39.5</v>
      </c>
      <c r="M105" s="34">
        <v>38.700000000000003</v>
      </c>
      <c r="N105" s="16">
        <v>36.700000000000003</v>
      </c>
      <c r="O105" s="39">
        <v>39.700000000000003</v>
      </c>
      <c r="P105" s="34">
        <v>38.200000000000003</v>
      </c>
      <c r="Q105" s="34">
        <v>39</v>
      </c>
      <c r="R105" s="34">
        <v>39.6</v>
      </c>
      <c r="S105" s="34">
        <v>36.9</v>
      </c>
      <c r="T105" s="34">
        <v>37</v>
      </c>
      <c r="U105" s="34">
        <v>37.5</v>
      </c>
      <c r="V105" s="34">
        <v>38.1</v>
      </c>
      <c r="W105" s="34">
        <v>37.4</v>
      </c>
    </row>
    <row r="106" spans="2:24" x14ac:dyDescent="0.45">
      <c r="B106" s="16">
        <v>49</v>
      </c>
      <c r="C106" s="16" t="s">
        <v>83</v>
      </c>
      <c r="D106" s="16">
        <v>42.2</v>
      </c>
      <c r="E106" s="39">
        <v>52.2</v>
      </c>
      <c r="F106" s="34">
        <v>47.5</v>
      </c>
      <c r="G106" s="34">
        <v>44.5</v>
      </c>
      <c r="H106" s="34">
        <v>42.9</v>
      </c>
      <c r="I106" s="34">
        <v>42</v>
      </c>
      <c r="J106" s="34">
        <v>41.6</v>
      </c>
      <c r="K106" s="34">
        <v>39.299999999999997</v>
      </c>
      <c r="L106" s="34">
        <v>39.799999999999997</v>
      </c>
      <c r="M106" s="34">
        <v>35.200000000000003</v>
      </c>
      <c r="N106" s="16">
        <v>37.6</v>
      </c>
      <c r="O106" s="39">
        <v>47.3</v>
      </c>
      <c r="P106" s="34">
        <v>48.5</v>
      </c>
      <c r="Q106" s="34">
        <v>43.9</v>
      </c>
      <c r="R106" s="34">
        <v>42.8</v>
      </c>
      <c r="S106" s="34">
        <v>38.6</v>
      </c>
      <c r="T106" s="34">
        <v>39.6</v>
      </c>
      <c r="U106" s="34">
        <v>38.9</v>
      </c>
      <c r="V106" s="34">
        <v>39</v>
      </c>
      <c r="W106" s="34">
        <v>39.799999999999997</v>
      </c>
    </row>
    <row r="107" spans="2:24" x14ac:dyDescent="0.45">
      <c r="B107" s="16">
        <v>50</v>
      </c>
      <c r="C107" s="16" t="s">
        <v>84</v>
      </c>
      <c r="D107" s="16">
        <v>44.3</v>
      </c>
      <c r="E107" s="39">
        <v>43.7</v>
      </c>
      <c r="F107" s="34">
        <v>42.3</v>
      </c>
      <c r="G107" s="34">
        <v>43.7</v>
      </c>
      <c r="H107" s="34">
        <v>45.8</v>
      </c>
      <c r="I107" s="34">
        <v>45.4</v>
      </c>
      <c r="J107" s="34">
        <v>47.6</v>
      </c>
      <c r="K107" s="34">
        <v>42.6</v>
      </c>
      <c r="L107" s="34">
        <v>43.2</v>
      </c>
      <c r="M107" s="34">
        <v>43</v>
      </c>
      <c r="N107" s="16">
        <v>45.7</v>
      </c>
      <c r="O107" s="39">
        <v>45.2</v>
      </c>
      <c r="P107" s="34">
        <v>45.4</v>
      </c>
      <c r="Q107" s="34">
        <v>47.1</v>
      </c>
      <c r="R107" s="34">
        <v>45.4</v>
      </c>
      <c r="S107" s="34">
        <v>45.5</v>
      </c>
      <c r="T107" s="34">
        <v>48</v>
      </c>
      <c r="U107" s="34">
        <v>46.7</v>
      </c>
      <c r="V107" s="34">
        <v>49.4</v>
      </c>
      <c r="W107" s="34">
        <v>44.9</v>
      </c>
    </row>
    <row r="108" spans="2:24" x14ac:dyDescent="0.45">
      <c r="B108" s="16">
        <v>51</v>
      </c>
      <c r="C108" s="16" t="s">
        <v>85</v>
      </c>
      <c r="D108" s="16">
        <v>50</v>
      </c>
      <c r="E108" s="39">
        <v>49.5</v>
      </c>
      <c r="F108" s="34">
        <v>51.1</v>
      </c>
      <c r="G108" s="34">
        <v>53.9</v>
      </c>
      <c r="H108" s="34">
        <v>52.3</v>
      </c>
      <c r="I108" s="34">
        <v>52.2</v>
      </c>
      <c r="J108" s="34">
        <v>53</v>
      </c>
      <c r="K108" s="34">
        <v>54.5</v>
      </c>
      <c r="L108" s="34">
        <v>59</v>
      </c>
      <c r="M108" s="34">
        <v>59.9</v>
      </c>
      <c r="N108" s="16">
        <v>54.3</v>
      </c>
      <c r="O108" s="39">
        <v>53.3</v>
      </c>
      <c r="P108" s="34">
        <v>56.1</v>
      </c>
      <c r="Q108" s="34">
        <v>56.9</v>
      </c>
      <c r="R108" s="34">
        <v>59.6</v>
      </c>
      <c r="S108" s="34">
        <v>60.9</v>
      </c>
      <c r="T108" s="34">
        <v>60</v>
      </c>
      <c r="U108" s="34">
        <v>60</v>
      </c>
      <c r="V108" s="34">
        <v>62</v>
      </c>
      <c r="W108" s="34">
        <v>65.8</v>
      </c>
    </row>
    <row r="109" spans="2:24" x14ac:dyDescent="0.45">
      <c r="B109" s="16">
        <v>52</v>
      </c>
      <c r="C109" s="18" t="s">
        <v>86</v>
      </c>
      <c r="D109" s="18">
        <v>72.2</v>
      </c>
      <c r="E109" s="40"/>
      <c r="F109" s="41"/>
      <c r="G109" s="41"/>
      <c r="H109" s="41"/>
      <c r="I109" s="41"/>
      <c r="J109" s="41"/>
      <c r="K109" s="41"/>
      <c r="L109" s="41"/>
      <c r="M109" s="41"/>
      <c r="N109" s="18">
        <v>64.099999999999994</v>
      </c>
      <c r="O109" s="39">
        <v>68.8</v>
      </c>
      <c r="P109" s="34">
        <v>66.900000000000006</v>
      </c>
      <c r="Q109" s="34">
        <v>69.900000000000006</v>
      </c>
      <c r="R109" s="34">
        <v>66.8</v>
      </c>
      <c r="S109" s="34">
        <v>68.8</v>
      </c>
      <c r="T109" s="34">
        <v>65.900000000000006</v>
      </c>
      <c r="U109" s="34">
        <v>69.3</v>
      </c>
      <c r="V109" s="34">
        <v>62.5</v>
      </c>
      <c r="W109" s="34">
        <v>61.6</v>
      </c>
      <c r="X109" s="5" t="s">
        <v>87</v>
      </c>
    </row>
    <row r="110" spans="2:24" x14ac:dyDescent="0.45">
      <c r="B110" s="16">
        <v>53</v>
      </c>
      <c r="C110" s="16" t="s">
        <v>88</v>
      </c>
      <c r="D110" s="16">
        <v>8.6</v>
      </c>
      <c r="E110" s="40"/>
      <c r="F110" s="41"/>
      <c r="G110" s="41"/>
      <c r="H110" s="41"/>
      <c r="I110" s="41"/>
      <c r="J110" s="41"/>
      <c r="K110" s="41"/>
      <c r="L110" s="41"/>
      <c r="M110" s="41"/>
      <c r="N110" s="16">
        <v>9.4</v>
      </c>
      <c r="O110" s="39">
        <v>9.6</v>
      </c>
      <c r="P110" s="34">
        <v>8.6999999999999993</v>
      </c>
      <c r="Q110" s="34">
        <v>8.6</v>
      </c>
      <c r="R110" s="34">
        <v>8.4</v>
      </c>
      <c r="S110" s="34">
        <v>9.1</v>
      </c>
      <c r="T110" s="34">
        <v>9.4</v>
      </c>
      <c r="U110" s="34">
        <v>8.4</v>
      </c>
      <c r="V110" s="34">
        <v>10.199999999999999</v>
      </c>
      <c r="W110" s="34">
        <v>8.6999999999999993</v>
      </c>
      <c r="X110" s="5"/>
    </row>
    <row r="111" spans="2:24" x14ac:dyDescent="0.45">
      <c r="B111" s="16">
        <v>54</v>
      </c>
      <c r="C111" s="16" t="s">
        <v>89</v>
      </c>
      <c r="D111" s="16">
        <v>42.4</v>
      </c>
      <c r="E111" s="40"/>
      <c r="F111" s="41"/>
      <c r="G111" s="41"/>
      <c r="H111" s="41"/>
      <c r="I111" s="41"/>
      <c r="J111" s="41"/>
      <c r="K111" s="41"/>
      <c r="L111" s="41"/>
      <c r="M111" s="41"/>
      <c r="N111" s="16">
        <v>78.5</v>
      </c>
      <c r="O111" s="39">
        <v>53.1</v>
      </c>
      <c r="P111" s="34">
        <v>60.5</v>
      </c>
      <c r="Q111" s="34">
        <v>66.099999999999994</v>
      </c>
      <c r="R111" s="34">
        <v>76.5</v>
      </c>
      <c r="S111" s="34">
        <v>81</v>
      </c>
      <c r="T111" s="34">
        <v>86.8</v>
      </c>
      <c r="U111" s="34">
        <v>92.2</v>
      </c>
      <c r="V111" s="34">
        <v>79.5</v>
      </c>
      <c r="W111" s="34" t="s">
        <v>74</v>
      </c>
      <c r="X111" s="5"/>
    </row>
    <row r="112" spans="2:24" x14ac:dyDescent="0.45">
      <c r="B112" s="16">
        <v>55</v>
      </c>
      <c r="C112" s="16" t="s">
        <v>90</v>
      </c>
      <c r="D112" s="16">
        <v>21</v>
      </c>
      <c r="E112" s="40"/>
      <c r="F112" s="41"/>
      <c r="G112" s="41"/>
      <c r="H112" s="41"/>
      <c r="I112" s="41"/>
      <c r="J112" s="41"/>
      <c r="K112" s="41"/>
      <c r="L112" s="41"/>
      <c r="M112" s="41"/>
      <c r="N112" s="16">
        <v>23.4</v>
      </c>
      <c r="O112" s="39">
        <v>9.6</v>
      </c>
      <c r="P112" s="34">
        <v>11</v>
      </c>
      <c r="Q112" s="34">
        <v>16.100000000000001</v>
      </c>
      <c r="R112" s="34">
        <v>19.399999999999999</v>
      </c>
      <c r="S112" s="34">
        <v>24.1</v>
      </c>
      <c r="T112" s="34">
        <v>25.3</v>
      </c>
      <c r="U112" s="34">
        <v>33.299999999999997</v>
      </c>
      <c r="V112" s="34">
        <v>24.3</v>
      </c>
      <c r="W112" s="34">
        <v>6.8</v>
      </c>
    </row>
  </sheetData>
  <mergeCells count="20">
    <mergeCell ref="E69:M69"/>
    <mergeCell ref="O69:W69"/>
    <mergeCell ref="D71:M71"/>
    <mergeCell ref="N71:W71"/>
    <mergeCell ref="O28:W28"/>
    <mergeCell ref="D43:M43"/>
    <mergeCell ref="N43:W43"/>
    <mergeCell ref="E56:M56"/>
    <mergeCell ref="O56:W56"/>
    <mergeCell ref="D58:M58"/>
    <mergeCell ref="N58:W58"/>
    <mergeCell ref="O4:W4"/>
    <mergeCell ref="E41:M41"/>
    <mergeCell ref="O41:W41"/>
    <mergeCell ref="E28:M28"/>
    <mergeCell ref="D30:M30"/>
    <mergeCell ref="N30:W30"/>
    <mergeCell ref="E4:M4"/>
    <mergeCell ref="D6:M6"/>
    <mergeCell ref="N6:W6"/>
  </mergeCells>
  <phoneticPr fontId="2"/>
  <conditionalFormatting sqref="E73:M73">
    <cfRule type="colorScale" priority="76">
      <colorScale>
        <cfvo type="min"/>
        <cfvo type="max"/>
        <color rgb="FFFCFCFF"/>
        <color rgb="FFF8696B"/>
      </colorScale>
    </cfRule>
  </conditionalFormatting>
  <conditionalFormatting sqref="E74:M74">
    <cfRule type="colorScale" priority="75">
      <colorScale>
        <cfvo type="min"/>
        <cfvo type="max"/>
        <color rgb="FFFCFCFF"/>
        <color rgb="FFF8696B"/>
      </colorScale>
    </cfRule>
  </conditionalFormatting>
  <conditionalFormatting sqref="E75:M75">
    <cfRule type="colorScale" priority="74">
      <colorScale>
        <cfvo type="min"/>
        <cfvo type="max"/>
        <color rgb="FFFCFCFF"/>
        <color rgb="FFF8696B"/>
      </colorScale>
    </cfRule>
  </conditionalFormatting>
  <conditionalFormatting sqref="E76:M76">
    <cfRule type="colorScale" priority="73">
      <colorScale>
        <cfvo type="min"/>
        <cfvo type="max"/>
        <color rgb="FFFCFCFF"/>
        <color rgb="FFF8696B"/>
      </colorScale>
    </cfRule>
  </conditionalFormatting>
  <conditionalFormatting sqref="E77:M77">
    <cfRule type="colorScale" priority="72">
      <colorScale>
        <cfvo type="min"/>
        <cfvo type="max"/>
        <color rgb="FFFCFCFF"/>
        <color rgb="FFF8696B"/>
      </colorScale>
    </cfRule>
  </conditionalFormatting>
  <conditionalFormatting sqref="E78:M78">
    <cfRule type="colorScale" priority="71">
      <colorScale>
        <cfvo type="min"/>
        <cfvo type="max"/>
        <color rgb="FFFCFCFF"/>
        <color rgb="FFF8696B"/>
      </colorScale>
    </cfRule>
  </conditionalFormatting>
  <conditionalFormatting sqref="E79:M79">
    <cfRule type="colorScale" priority="70">
      <colorScale>
        <cfvo type="min"/>
        <cfvo type="max"/>
        <color rgb="FFFCFCFF"/>
        <color rgb="FFF8696B"/>
      </colorScale>
    </cfRule>
  </conditionalFormatting>
  <conditionalFormatting sqref="E80:M80">
    <cfRule type="colorScale" priority="69">
      <colorScale>
        <cfvo type="min"/>
        <cfvo type="max"/>
        <color rgb="FFFCFCFF"/>
        <color rgb="FFF8696B"/>
      </colorScale>
    </cfRule>
  </conditionalFormatting>
  <conditionalFormatting sqref="E81:M81">
    <cfRule type="colorScale" priority="68">
      <colorScale>
        <cfvo type="min"/>
        <cfvo type="max"/>
        <color rgb="FFFCFCFF"/>
        <color rgb="FFF8696B"/>
      </colorScale>
    </cfRule>
  </conditionalFormatting>
  <conditionalFormatting sqref="E82:M82">
    <cfRule type="colorScale" priority="67">
      <colorScale>
        <cfvo type="min"/>
        <cfvo type="max"/>
        <color rgb="FFFCFCFF"/>
        <color rgb="FFF8696B"/>
      </colorScale>
    </cfRule>
  </conditionalFormatting>
  <conditionalFormatting sqref="E83:M83">
    <cfRule type="colorScale" priority="66">
      <colorScale>
        <cfvo type="min"/>
        <cfvo type="max"/>
        <color rgb="FFFCFCFF"/>
        <color rgb="FFF8696B"/>
      </colorScale>
    </cfRule>
  </conditionalFormatting>
  <conditionalFormatting sqref="E84:M84">
    <cfRule type="colorScale" priority="65">
      <colorScale>
        <cfvo type="min"/>
        <cfvo type="max"/>
        <color rgb="FFFCFCFF"/>
        <color rgb="FFF8696B"/>
      </colorScale>
    </cfRule>
  </conditionalFormatting>
  <conditionalFormatting sqref="E85:M85">
    <cfRule type="colorScale" priority="64">
      <colorScale>
        <cfvo type="min"/>
        <cfvo type="max"/>
        <color rgb="FFFCFCFF"/>
        <color rgb="FFF8696B"/>
      </colorScale>
    </cfRule>
  </conditionalFormatting>
  <conditionalFormatting sqref="E86:M86">
    <cfRule type="colorScale" priority="63">
      <colorScale>
        <cfvo type="min"/>
        <cfvo type="max"/>
        <color rgb="FFFCFCFF"/>
        <color rgb="FFF8696B"/>
      </colorScale>
    </cfRule>
  </conditionalFormatting>
  <conditionalFormatting sqref="E87:M87">
    <cfRule type="colorScale" priority="62">
      <colorScale>
        <cfvo type="min"/>
        <cfvo type="max"/>
        <color rgb="FFFCFCFF"/>
        <color rgb="FFF8696B"/>
      </colorScale>
    </cfRule>
  </conditionalFormatting>
  <conditionalFormatting sqref="E88:M88">
    <cfRule type="colorScale" priority="61">
      <colorScale>
        <cfvo type="min"/>
        <cfvo type="max"/>
        <color rgb="FFFCFCFF"/>
        <color rgb="FFF8696B"/>
      </colorScale>
    </cfRule>
  </conditionalFormatting>
  <conditionalFormatting sqref="E89:M89">
    <cfRule type="colorScale" priority="60">
      <colorScale>
        <cfvo type="min"/>
        <cfvo type="max"/>
        <color rgb="FFFCFCFF"/>
        <color rgb="FFF8696B"/>
      </colorScale>
    </cfRule>
  </conditionalFormatting>
  <conditionalFormatting sqref="E90:M90">
    <cfRule type="colorScale" priority="59">
      <colorScale>
        <cfvo type="min"/>
        <cfvo type="max"/>
        <color rgb="FFFCFCFF"/>
        <color rgb="FFF8696B"/>
      </colorScale>
    </cfRule>
  </conditionalFormatting>
  <conditionalFormatting sqref="E91:M91">
    <cfRule type="colorScale" priority="58">
      <colorScale>
        <cfvo type="min"/>
        <cfvo type="max"/>
        <color rgb="FFFCFCFF"/>
        <color rgb="FFF8696B"/>
      </colorScale>
    </cfRule>
  </conditionalFormatting>
  <conditionalFormatting sqref="E92:M92">
    <cfRule type="colorScale" priority="57">
      <colorScale>
        <cfvo type="min"/>
        <cfvo type="max"/>
        <color rgb="FFFCFCFF"/>
        <color rgb="FFF8696B"/>
      </colorScale>
    </cfRule>
  </conditionalFormatting>
  <conditionalFormatting sqref="E93:M93">
    <cfRule type="colorScale" priority="56">
      <colorScale>
        <cfvo type="min"/>
        <cfvo type="max"/>
        <color rgb="FFFCFCFF"/>
        <color rgb="FFF8696B"/>
      </colorScale>
    </cfRule>
  </conditionalFormatting>
  <conditionalFormatting sqref="E94:M94">
    <cfRule type="colorScale" priority="55">
      <colorScale>
        <cfvo type="min"/>
        <cfvo type="max"/>
        <color rgb="FFFCFCFF"/>
        <color rgb="FFF8696B"/>
      </colorScale>
    </cfRule>
  </conditionalFormatting>
  <conditionalFormatting sqref="E95:M95">
    <cfRule type="colorScale" priority="54">
      <colorScale>
        <cfvo type="min"/>
        <cfvo type="max"/>
        <color rgb="FFFCFCFF"/>
        <color rgb="FFF8696B"/>
      </colorScale>
    </cfRule>
  </conditionalFormatting>
  <conditionalFormatting sqref="E96:M96">
    <cfRule type="colorScale" priority="53">
      <colorScale>
        <cfvo type="min"/>
        <cfvo type="max"/>
        <color rgb="FFFCFCFF"/>
        <color rgb="FFF8696B"/>
      </colorScale>
    </cfRule>
  </conditionalFormatting>
  <conditionalFormatting sqref="E97:M97">
    <cfRule type="colorScale" priority="52">
      <colorScale>
        <cfvo type="min"/>
        <cfvo type="max"/>
        <color rgb="FFFCFCFF"/>
        <color rgb="FFF8696B"/>
      </colorScale>
    </cfRule>
  </conditionalFormatting>
  <conditionalFormatting sqref="E98:M98">
    <cfRule type="colorScale" priority="51">
      <colorScale>
        <cfvo type="min"/>
        <cfvo type="max"/>
        <color rgb="FFFCFCFF"/>
        <color rgb="FFF8696B"/>
      </colorScale>
    </cfRule>
  </conditionalFormatting>
  <conditionalFormatting sqref="E99:M99">
    <cfRule type="colorScale" priority="50">
      <colorScale>
        <cfvo type="min"/>
        <cfvo type="max"/>
        <color rgb="FFFCFCFF"/>
        <color rgb="FFF8696B"/>
      </colorScale>
    </cfRule>
  </conditionalFormatting>
  <conditionalFormatting sqref="E100:M100">
    <cfRule type="colorScale" priority="49">
      <colorScale>
        <cfvo type="min"/>
        <cfvo type="max"/>
        <color rgb="FFFCFCFF"/>
        <color rgb="FFF8696B"/>
      </colorScale>
    </cfRule>
  </conditionalFormatting>
  <conditionalFormatting sqref="E101:M101">
    <cfRule type="colorScale" priority="48">
      <colorScale>
        <cfvo type="min"/>
        <cfvo type="max"/>
        <color rgb="FFFCFCFF"/>
        <color rgb="FFF8696B"/>
      </colorScale>
    </cfRule>
  </conditionalFormatting>
  <conditionalFormatting sqref="E102:M102">
    <cfRule type="colorScale" priority="47">
      <colorScale>
        <cfvo type="min"/>
        <cfvo type="max"/>
        <color rgb="FFFCFCFF"/>
        <color rgb="FFF8696B"/>
      </colorScale>
    </cfRule>
  </conditionalFormatting>
  <conditionalFormatting sqref="E103:M103">
    <cfRule type="colorScale" priority="46">
      <colorScale>
        <cfvo type="min"/>
        <cfvo type="max"/>
        <color rgb="FFFCFCFF"/>
        <color rgb="FFF8696B"/>
      </colorScale>
    </cfRule>
  </conditionalFormatting>
  <conditionalFormatting sqref="E104:M104">
    <cfRule type="colorScale" priority="45">
      <colorScale>
        <cfvo type="min"/>
        <cfvo type="max"/>
        <color rgb="FFFCFCFF"/>
        <color rgb="FFF8696B"/>
      </colorScale>
    </cfRule>
  </conditionalFormatting>
  <conditionalFormatting sqref="E105:M105">
    <cfRule type="colorScale" priority="44">
      <colorScale>
        <cfvo type="min"/>
        <cfvo type="max"/>
        <color rgb="FFFCFCFF"/>
        <color rgb="FFF8696B"/>
      </colorScale>
    </cfRule>
  </conditionalFormatting>
  <conditionalFormatting sqref="E106:M106">
    <cfRule type="colorScale" priority="43">
      <colorScale>
        <cfvo type="min"/>
        <cfvo type="max"/>
        <color rgb="FFFCFCFF"/>
        <color rgb="FFF8696B"/>
      </colorScale>
    </cfRule>
  </conditionalFormatting>
  <conditionalFormatting sqref="E107:M107">
    <cfRule type="colorScale" priority="42">
      <colorScale>
        <cfvo type="min"/>
        <cfvo type="max"/>
        <color rgb="FFFCFCFF"/>
        <color rgb="FFF8696B"/>
      </colorScale>
    </cfRule>
  </conditionalFormatting>
  <conditionalFormatting sqref="E108:M108">
    <cfRule type="colorScale" priority="41">
      <colorScale>
        <cfvo type="min"/>
        <cfvo type="max"/>
        <color rgb="FFFCFCFF"/>
        <color rgb="FFF8696B"/>
      </colorScale>
    </cfRule>
  </conditionalFormatting>
  <conditionalFormatting sqref="O73:W73">
    <cfRule type="colorScale" priority="40">
      <colorScale>
        <cfvo type="min"/>
        <cfvo type="max"/>
        <color rgb="FFFCFCFF"/>
        <color rgb="FFF8696B"/>
      </colorScale>
    </cfRule>
  </conditionalFormatting>
  <conditionalFormatting sqref="O74:W74">
    <cfRule type="colorScale" priority="39">
      <colorScale>
        <cfvo type="min"/>
        <cfvo type="max"/>
        <color rgb="FFFCFCFF"/>
        <color rgb="FFF8696B"/>
      </colorScale>
    </cfRule>
  </conditionalFormatting>
  <conditionalFormatting sqref="O75:W75">
    <cfRule type="colorScale" priority="38">
      <colorScale>
        <cfvo type="min"/>
        <cfvo type="max"/>
        <color rgb="FFFCFCFF"/>
        <color rgb="FFF8696B"/>
      </colorScale>
    </cfRule>
  </conditionalFormatting>
  <conditionalFormatting sqref="O76:W76">
    <cfRule type="colorScale" priority="37">
      <colorScale>
        <cfvo type="min"/>
        <cfvo type="max"/>
        <color rgb="FFFCFCFF"/>
        <color rgb="FFF8696B"/>
      </colorScale>
    </cfRule>
  </conditionalFormatting>
  <conditionalFormatting sqref="O77:W77">
    <cfRule type="colorScale" priority="36">
      <colorScale>
        <cfvo type="min"/>
        <cfvo type="max"/>
        <color rgb="FFFCFCFF"/>
        <color rgb="FFF8696B"/>
      </colorScale>
    </cfRule>
  </conditionalFormatting>
  <conditionalFormatting sqref="O78:W78">
    <cfRule type="colorScale" priority="35">
      <colorScale>
        <cfvo type="min"/>
        <cfvo type="max"/>
        <color rgb="FFFCFCFF"/>
        <color rgb="FFF8696B"/>
      </colorScale>
    </cfRule>
  </conditionalFormatting>
  <conditionalFormatting sqref="O79:W79">
    <cfRule type="colorScale" priority="34">
      <colorScale>
        <cfvo type="min"/>
        <cfvo type="max"/>
        <color rgb="FFFCFCFF"/>
        <color rgb="FFF8696B"/>
      </colorScale>
    </cfRule>
  </conditionalFormatting>
  <conditionalFormatting sqref="O80:W80">
    <cfRule type="colorScale" priority="33">
      <colorScale>
        <cfvo type="min"/>
        <cfvo type="max"/>
        <color rgb="FFFCFCFF"/>
        <color rgb="FFF8696B"/>
      </colorScale>
    </cfRule>
  </conditionalFormatting>
  <conditionalFormatting sqref="O81:W81">
    <cfRule type="colorScale" priority="32">
      <colorScale>
        <cfvo type="min"/>
        <cfvo type="max"/>
        <color rgb="FFFCFCFF"/>
        <color rgb="FFF8696B"/>
      </colorScale>
    </cfRule>
  </conditionalFormatting>
  <conditionalFormatting sqref="O82:W82">
    <cfRule type="colorScale" priority="31">
      <colorScale>
        <cfvo type="min"/>
        <cfvo type="max"/>
        <color rgb="FFFCFCFF"/>
        <color rgb="FFF8696B"/>
      </colorScale>
    </cfRule>
  </conditionalFormatting>
  <conditionalFormatting sqref="O83:W83">
    <cfRule type="colorScale" priority="30">
      <colorScale>
        <cfvo type="min"/>
        <cfvo type="max"/>
        <color rgb="FFFCFCFF"/>
        <color rgb="FFF8696B"/>
      </colorScale>
    </cfRule>
  </conditionalFormatting>
  <conditionalFormatting sqref="O84:W84">
    <cfRule type="colorScale" priority="29">
      <colorScale>
        <cfvo type="min"/>
        <cfvo type="max"/>
        <color rgb="FFFCFCFF"/>
        <color rgb="FFF8696B"/>
      </colorScale>
    </cfRule>
  </conditionalFormatting>
  <conditionalFormatting sqref="O85:W85">
    <cfRule type="colorScale" priority="28">
      <colorScale>
        <cfvo type="min"/>
        <cfvo type="max"/>
        <color rgb="FFFCFCFF"/>
        <color rgb="FFF8696B"/>
      </colorScale>
    </cfRule>
  </conditionalFormatting>
  <conditionalFormatting sqref="O86:W86">
    <cfRule type="colorScale" priority="27">
      <colorScale>
        <cfvo type="min"/>
        <cfvo type="max"/>
        <color rgb="FFFCFCFF"/>
        <color rgb="FFF8696B"/>
      </colorScale>
    </cfRule>
  </conditionalFormatting>
  <conditionalFormatting sqref="O87:W87">
    <cfRule type="colorScale" priority="26">
      <colorScale>
        <cfvo type="min"/>
        <cfvo type="max"/>
        <color rgb="FFFCFCFF"/>
        <color rgb="FFF8696B"/>
      </colorScale>
    </cfRule>
  </conditionalFormatting>
  <conditionalFormatting sqref="O88:W88">
    <cfRule type="colorScale" priority="25">
      <colorScale>
        <cfvo type="min"/>
        <cfvo type="max"/>
        <color rgb="FFFCFCFF"/>
        <color rgb="FFF8696B"/>
      </colorScale>
    </cfRule>
  </conditionalFormatting>
  <conditionalFormatting sqref="O89:W89">
    <cfRule type="colorScale" priority="24">
      <colorScale>
        <cfvo type="min"/>
        <cfvo type="max"/>
        <color rgb="FFFCFCFF"/>
        <color rgb="FFF8696B"/>
      </colorScale>
    </cfRule>
  </conditionalFormatting>
  <conditionalFormatting sqref="O90:W90">
    <cfRule type="colorScale" priority="23">
      <colorScale>
        <cfvo type="min"/>
        <cfvo type="max"/>
        <color rgb="FFFCFCFF"/>
        <color rgb="FFF8696B"/>
      </colorScale>
    </cfRule>
  </conditionalFormatting>
  <conditionalFormatting sqref="O91:W91">
    <cfRule type="colorScale" priority="22">
      <colorScale>
        <cfvo type="min"/>
        <cfvo type="max"/>
        <color rgb="FFFCFCFF"/>
        <color rgb="FFF8696B"/>
      </colorScale>
    </cfRule>
  </conditionalFormatting>
  <conditionalFormatting sqref="O92:W92">
    <cfRule type="colorScale" priority="21">
      <colorScale>
        <cfvo type="min"/>
        <cfvo type="max"/>
        <color rgb="FFFCFCFF"/>
        <color rgb="FFF8696B"/>
      </colorScale>
    </cfRule>
  </conditionalFormatting>
  <conditionalFormatting sqref="O93:W93">
    <cfRule type="colorScale" priority="20">
      <colorScale>
        <cfvo type="min"/>
        <cfvo type="max"/>
        <color rgb="FFFCFCFF"/>
        <color rgb="FFF8696B"/>
      </colorScale>
    </cfRule>
  </conditionalFormatting>
  <conditionalFormatting sqref="O94:W94">
    <cfRule type="colorScale" priority="19">
      <colorScale>
        <cfvo type="min"/>
        <cfvo type="max"/>
        <color rgb="FFFCFCFF"/>
        <color rgb="FFF8696B"/>
      </colorScale>
    </cfRule>
  </conditionalFormatting>
  <conditionalFormatting sqref="O95:W95">
    <cfRule type="colorScale" priority="18">
      <colorScale>
        <cfvo type="min"/>
        <cfvo type="max"/>
        <color rgb="FFFCFCFF"/>
        <color rgb="FFF8696B"/>
      </colorScale>
    </cfRule>
  </conditionalFormatting>
  <conditionalFormatting sqref="O96:W96">
    <cfRule type="colorScale" priority="17">
      <colorScale>
        <cfvo type="min"/>
        <cfvo type="max"/>
        <color rgb="FFFCFCFF"/>
        <color rgb="FFF8696B"/>
      </colorScale>
    </cfRule>
  </conditionalFormatting>
  <conditionalFormatting sqref="O97:W97">
    <cfRule type="colorScale" priority="16">
      <colorScale>
        <cfvo type="min"/>
        <cfvo type="max"/>
        <color rgb="FFFCFCFF"/>
        <color rgb="FFF8696B"/>
      </colorScale>
    </cfRule>
  </conditionalFormatting>
  <conditionalFormatting sqref="O98:W98">
    <cfRule type="colorScale" priority="15">
      <colorScale>
        <cfvo type="min"/>
        <cfvo type="max"/>
        <color rgb="FFFCFCFF"/>
        <color rgb="FFF8696B"/>
      </colorScale>
    </cfRule>
  </conditionalFormatting>
  <conditionalFormatting sqref="O99:W99">
    <cfRule type="colorScale" priority="14">
      <colorScale>
        <cfvo type="min"/>
        <cfvo type="max"/>
        <color rgb="FFFCFCFF"/>
        <color rgb="FFF8696B"/>
      </colorScale>
    </cfRule>
  </conditionalFormatting>
  <conditionalFormatting sqref="O100:W100">
    <cfRule type="colorScale" priority="13">
      <colorScale>
        <cfvo type="min"/>
        <cfvo type="max"/>
        <color rgb="FFFCFCFF"/>
        <color rgb="FFF8696B"/>
      </colorScale>
    </cfRule>
  </conditionalFormatting>
  <conditionalFormatting sqref="O101:W101">
    <cfRule type="colorScale" priority="12">
      <colorScale>
        <cfvo type="min"/>
        <cfvo type="max"/>
        <color rgb="FFFCFCFF"/>
        <color rgb="FFF8696B"/>
      </colorScale>
    </cfRule>
  </conditionalFormatting>
  <conditionalFormatting sqref="O102:W102">
    <cfRule type="colorScale" priority="11">
      <colorScale>
        <cfvo type="min"/>
        <cfvo type="max"/>
        <color rgb="FFFCFCFF"/>
        <color rgb="FFF8696B"/>
      </colorScale>
    </cfRule>
  </conditionalFormatting>
  <conditionalFormatting sqref="O103:W103">
    <cfRule type="colorScale" priority="10">
      <colorScale>
        <cfvo type="min"/>
        <cfvo type="max"/>
        <color rgb="FFFCFCFF"/>
        <color rgb="FFF8696B"/>
      </colorScale>
    </cfRule>
  </conditionalFormatting>
  <conditionalFormatting sqref="O104:W104">
    <cfRule type="colorScale" priority="9">
      <colorScale>
        <cfvo type="min"/>
        <cfvo type="max"/>
        <color rgb="FFFCFCFF"/>
        <color rgb="FFF8696B"/>
      </colorScale>
    </cfRule>
  </conditionalFormatting>
  <conditionalFormatting sqref="O105:W105">
    <cfRule type="colorScale" priority="8">
      <colorScale>
        <cfvo type="min"/>
        <cfvo type="max"/>
        <color rgb="FFFCFCFF"/>
        <color rgb="FFF8696B"/>
      </colorScale>
    </cfRule>
  </conditionalFormatting>
  <conditionalFormatting sqref="O106:W106">
    <cfRule type="colorScale" priority="7">
      <colorScale>
        <cfvo type="min"/>
        <cfvo type="max"/>
        <color rgb="FFFCFCFF"/>
        <color rgb="FFF8696B"/>
      </colorScale>
    </cfRule>
  </conditionalFormatting>
  <conditionalFormatting sqref="O107:W107">
    <cfRule type="colorScale" priority="6">
      <colorScale>
        <cfvo type="min"/>
        <cfvo type="max"/>
        <color rgb="FFFCFCFF"/>
        <color rgb="FFF8696B"/>
      </colorScale>
    </cfRule>
  </conditionalFormatting>
  <conditionalFormatting sqref="O108:W108">
    <cfRule type="colorScale" priority="5">
      <colorScale>
        <cfvo type="min"/>
        <cfvo type="max"/>
        <color rgb="FFFCFCFF"/>
        <color rgb="FFF8696B"/>
      </colorScale>
    </cfRule>
  </conditionalFormatting>
  <conditionalFormatting sqref="O109:W109">
    <cfRule type="colorScale" priority="4">
      <colorScale>
        <cfvo type="min"/>
        <cfvo type="max"/>
        <color rgb="FFFCFCFF"/>
        <color rgb="FFF8696B"/>
      </colorScale>
    </cfRule>
  </conditionalFormatting>
  <conditionalFormatting sqref="O110:W110">
    <cfRule type="colorScale" priority="3">
      <colorScale>
        <cfvo type="min"/>
        <cfvo type="max"/>
        <color rgb="FFFCFCFF"/>
        <color rgb="FFF8696B"/>
      </colorScale>
    </cfRule>
  </conditionalFormatting>
  <conditionalFormatting sqref="O111:W111">
    <cfRule type="colorScale" priority="2">
      <colorScale>
        <cfvo type="min"/>
        <cfvo type="max"/>
        <color rgb="FFFCFCFF"/>
        <color rgb="FFF8696B"/>
      </colorScale>
    </cfRule>
  </conditionalFormatting>
  <conditionalFormatting sqref="O112:W112">
    <cfRule type="colorScale" priority="1">
      <colorScale>
        <cfvo type="min"/>
        <cfvo type="max"/>
        <color rgb="FFFCFCFF"/>
        <color rgb="FFF8696B"/>
      </colorScale>
    </cfRule>
  </conditionalFormatting>
  <pageMargins left="0.25" right="0.25" top="0.75" bottom="0.75" header="0.3" footer="0.3"/>
  <pageSetup paperSize="9" scale="1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測定表</vt:lpstr>
    </vt:vector>
  </TitlesOfParts>
  <Company>積水化学工業（株）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Hirano Takahiro</dc:creator>
  <cp:lastModifiedBy>Hirano Takahiro</cp:lastModifiedBy>
  <dcterms:created xsi:type="dcterms:W3CDTF">2026-08-01T03:07:46Z</dcterms:created>
  <dcterms:modified xsi:type="dcterms:W3CDTF">2026-08-01T03:28:37Z</dcterms:modified>
</cp:coreProperties>
</file>